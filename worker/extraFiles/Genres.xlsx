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182D700-0830-4E9D-B049-C9D9A3127C5B}" xr6:coauthVersionLast="47" xr6:coauthVersionMax="47" xr10:uidLastSave="{00000000-0000-0000-0000-000000000000}"/>
  <bookViews>
    <workbookView xWindow="-120" yWindow="-120" windowWidth="29040" windowHeight="15720" xr2:uid="{49C583FC-1132-4AEF-9AEA-9BA219BF4A35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9" i="1" l="1" a="1"/>
  <c r="D99" i="1" s="1"/>
  <c r="D98" i="1" a="1"/>
  <c r="D98" i="1" s="1"/>
  <c r="D97" i="1" a="1"/>
  <c r="D97" i="1" s="1"/>
  <c r="D96" i="1" a="1"/>
  <c r="D96" i="1" s="1"/>
  <c r="D95" i="1" a="1"/>
  <c r="D95" i="1" s="1"/>
  <c r="D94" i="1" a="1"/>
  <c r="D94" i="1" s="1"/>
  <c r="D93" i="1" a="1"/>
  <c r="D93" i="1" s="1"/>
  <c r="D92" i="1"/>
  <c r="D92" i="1" a="1"/>
  <c r="D91" i="1"/>
  <c r="D91" i="1" a="1"/>
  <c r="D90" i="1" a="1"/>
  <c r="D90" i="1" s="1"/>
  <c r="D89" i="1" a="1"/>
  <c r="D89" i="1" s="1"/>
  <c r="D88" i="1" a="1"/>
  <c r="D88" i="1" s="1"/>
  <c r="D87" i="1" a="1"/>
  <c r="D87" i="1" s="1"/>
  <c r="D86" i="1" a="1"/>
  <c r="D86" i="1" s="1"/>
  <c r="D85" i="1" a="1"/>
  <c r="D85" i="1" s="1"/>
  <c r="D84" i="1" a="1"/>
  <c r="D84" i="1" s="1"/>
  <c r="D83" i="1" a="1"/>
  <c r="D83" i="1" s="1"/>
  <c r="D82" i="1" a="1"/>
  <c r="D82" i="1" s="1"/>
  <c r="D81" i="1" a="1"/>
  <c r="D81" i="1" s="1"/>
  <c r="D80" i="1" a="1"/>
  <c r="D80" i="1" s="1"/>
  <c r="D79" i="1" a="1"/>
  <c r="D79" i="1" s="1"/>
  <c r="D78" i="1" a="1"/>
  <c r="D78" i="1" s="1"/>
  <c r="D77" i="1" a="1"/>
  <c r="D77" i="1" s="1"/>
  <c r="D76" i="1"/>
  <c r="D76" i="1" a="1"/>
  <c r="D75" i="1"/>
  <c r="D75" i="1" a="1"/>
  <c r="D74" i="1" a="1"/>
  <c r="D74" i="1" s="1"/>
  <c r="D73" i="1" a="1"/>
  <c r="D73" i="1" s="1"/>
  <c r="D72" i="1" a="1"/>
  <c r="D72" i="1" s="1"/>
  <c r="D71" i="1" a="1"/>
  <c r="D71" i="1" s="1"/>
  <c r="D70" i="1" a="1"/>
  <c r="D70" i="1" s="1"/>
  <c r="D69" i="1" a="1"/>
  <c r="D69" i="1" s="1"/>
  <c r="D68" i="1" a="1"/>
  <c r="D68" i="1" s="1"/>
  <c r="D67" i="1" a="1"/>
  <c r="D67" i="1" s="1"/>
  <c r="D66" i="1" a="1"/>
  <c r="D66" i="1" s="1"/>
  <c r="D65" i="1" a="1"/>
  <c r="D65" i="1" s="1"/>
  <c r="D64" i="1" a="1"/>
  <c r="D64" i="1" s="1"/>
  <c r="D63" i="1" a="1"/>
  <c r="D63" i="1" s="1"/>
  <c r="D62" i="1" a="1"/>
  <c r="D62" i="1" s="1"/>
  <c r="D61" i="1" a="1"/>
  <c r="D61" i="1" s="1"/>
  <c r="D60" i="1"/>
  <c r="D60" i="1" a="1"/>
  <c r="D59" i="1"/>
  <c r="D59" i="1" a="1"/>
  <c r="D58" i="1" a="1"/>
  <c r="D58" i="1" s="1"/>
  <c r="D57" i="1" a="1"/>
  <c r="D57" i="1" s="1"/>
  <c r="D56" i="1" a="1"/>
  <c r="D56" i="1" s="1"/>
  <c r="D55" i="1" a="1"/>
  <c r="D55" i="1" s="1"/>
  <c r="D54" i="1" a="1"/>
  <c r="D54" i="1" s="1"/>
  <c r="D53" i="1" a="1"/>
  <c r="D53" i="1" s="1"/>
  <c r="D52" i="1" a="1"/>
  <c r="D52" i="1" s="1"/>
  <c r="D51" i="1" a="1"/>
  <c r="D51" i="1" s="1"/>
  <c r="D50" i="1" a="1"/>
  <c r="D50" i="1" s="1"/>
  <c r="D49" i="1" a="1"/>
  <c r="D49" i="1" s="1"/>
  <c r="D48" i="1" a="1"/>
  <c r="D48" i="1" s="1"/>
  <c r="D47" i="1" a="1"/>
  <c r="D47" i="1" s="1"/>
  <c r="D46" i="1" a="1"/>
  <c r="D46" i="1" s="1"/>
  <c r="D45" i="1" a="1"/>
  <c r="D45" i="1" s="1"/>
  <c r="D44" i="1"/>
  <c r="D44" i="1" a="1"/>
  <c r="D43" i="1"/>
  <c r="D43" i="1" a="1"/>
  <c r="D42" i="1" a="1"/>
  <c r="D42" i="1" s="1"/>
  <c r="D41" i="1" a="1"/>
  <c r="D41" i="1" s="1"/>
  <c r="D40" i="1" a="1"/>
  <c r="D40" i="1" s="1"/>
  <c r="D39" i="1" a="1"/>
  <c r="D39" i="1" s="1"/>
  <c r="D38" i="1" a="1"/>
  <c r="D38" i="1" s="1"/>
  <c r="D37" i="1" a="1"/>
  <c r="D37" i="1" s="1"/>
  <c r="D36" i="1" a="1"/>
  <c r="D36" i="1" s="1"/>
  <c r="D35" i="1" a="1"/>
  <c r="D35" i="1" s="1"/>
  <c r="D34" i="1" a="1"/>
  <c r="D34" i="1" s="1"/>
  <c r="D33" i="1" a="1"/>
  <c r="D33" i="1" s="1"/>
  <c r="D32" i="1" a="1"/>
  <c r="D32" i="1" s="1"/>
  <c r="D31" i="1" a="1"/>
  <c r="D31" i="1" s="1"/>
  <c r="D30" i="1" a="1"/>
  <c r="D30" i="1" s="1"/>
  <c r="D29" i="1" a="1"/>
  <c r="D29" i="1" s="1"/>
  <c r="D28" i="1"/>
  <c r="D28" i="1" a="1"/>
  <c r="D27" i="1" a="1"/>
  <c r="D27" i="1" s="1"/>
  <c r="D26" i="1" a="1"/>
  <c r="D26" i="1" s="1"/>
  <c r="D25" i="1" a="1"/>
  <c r="D25" i="1" s="1"/>
  <c r="D24" i="1" a="1"/>
  <c r="D24" i="1" s="1"/>
  <c r="D23" i="1" a="1"/>
  <c r="D23" i="1" s="1"/>
  <c r="D22" i="1" a="1"/>
  <c r="D22" i="1" s="1"/>
  <c r="D21" i="1" a="1"/>
  <c r="D21" i="1" s="1"/>
  <c r="D20" i="1" a="1"/>
  <c r="D20" i="1" s="1"/>
  <c r="D19" i="1" a="1"/>
  <c r="D19" i="1" s="1"/>
  <c r="D18" i="1" a="1"/>
  <c r="D18" i="1" s="1"/>
  <c r="D17" i="1" a="1"/>
  <c r="D17" i="1" s="1"/>
  <c r="D16" i="1" a="1"/>
  <c r="D16" i="1" s="1"/>
  <c r="D15" i="1" a="1"/>
  <c r="D15" i="1" s="1"/>
  <c r="D14" i="1" a="1"/>
  <c r="D14" i="1" s="1"/>
  <c r="D13" i="1" a="1"/>
  <c r="D13" i="1" s="1"/>
  <c r="D12" i="1"/>
  <c r="D12" i="1" a="1"/>
  <c r="D11" i="1" a="1"/>
  <c r="D11" i="1" s="1"/>
  <c r="D10" i="1" a="1"/>
  <c r="D10" i="1" s="1"/>
  <c r="D9" i="1" a="1"/>
  <c r="D9" i="1" s="1"/>
  <c r="D8" i="1" a="1"/>
  <c r="D8" i="1" s="1"/>
  <c r="D7" i="1" a="1"/>
  <c r="D7" i="1" s="1"/>
  <c r="D6" i="1" a="1"/>
  <c r="D6" i="1" s="1"/>
  <c r="D5" i="1" a="1"/>
  <c r="D5" i="1" s="1"/>
  <c r="D4" i="1" a="1"/>
  <c r="D4" i="1" s="1"/>
  <c r="D3" i="1" a="1"/>
  <c r="D3" i="1" s="1"/>
  <c r="D2" i="1" a="1"/>
  <c r="D2" i="1" s="1"/>
</calcChain>
</file>

<file path=xl/sharedStrings.xml><?xml version="1.0" encoding="utf-8"?>
<sst xmlns="http://schemas.openxmlformats.org/spreadsheetml/2006/main" count="430" uniqueCount="208">
  <si>
    <t>Genre</t>
  </si>
  <si>
    <t>Selected Genre - Do not edit</t>
  </si>
  <si>
    <t>Film</t>
  </si>
  <si>
    <t>Pop</t>
  </si>
  <si>
    <t>Indie</t>
  </si>
  <si>
    <t>HipHop/Rap</t>
  </si>
  <si>
    <t>Folk</t>
  </si>
  <si>
    <t>Devotional</t>
  </si>
  <si>
    <t>Hindustani Classical</t>
  </si>
  <si>
    <t>Carnatic Classical</t>
  </si>
  <si>
    <t>Ambient/Instrumental</t>
  </si>
  <si>
    <t xml:space="preserve">Dance </t>
  </si>
  <si>
    <t xml:space="preserve">Electronic </t>
  </si>
  <si>
    <t xml:space="preserve">Rock </t>
  </si>
  <si>
    <t>New Age</t>
  </si>
  <si>
    <t>Worldwide</t>
  </si>
  <si>
    <t>Children's Music</t>
  </si>
  <si>
    <t xml:space="preserve">Romantic /Love Songs </t>
  </si>
  <si>
    <t>Indian Pop</t>
  </si>
  <si>
    <t>Indian Indie</t>
  </si>
  <si>
    <t>Hip-Hop</t>
  </si>
  <si>
    <t>Ainchaliyan</t>
  </si>
  <si>
    <t xml:space="preserve">Aarti </t>
  </si>
  <si>
    <t>Instrumental</t>
  </si>
  <si>
    <t xml:space="preserve">Soft </t>
  </si>
  <si>
    <t>Pop/Rock</t>
  </si>
  <si>
    <t xml:space="preserve">Sad Songs </t>
  </si>
  <si>
    <t>Punjabi Pop</t>
  </si>
  <si>
    <t xml:space="preserve">Indie Dance </t>
  </si>
  <si>
    <t>Rap</t>
  </si>
  <si>
    <t>Alha</t>
  </si>
  <si>
    <t xml:space="preserve">Bhajan </t>
  </si>
  <si>
    <t>Vocal</t>
  </si>
  <si>
    <t>Easy Listening</t>
  </si>
  <si>
    <t>Breakbeat</t>
  </si>
  <si>
    <t xml:space="preserve">Ambient </t>
  </si>
  <si>
    <t>Rock</t>
  </si>
  <si>
    <t>Healing</t>
  </si>
  <si>
    <t>Asia</t>
  </si>
  <si>
    <t>Lullabies</t>
  </si>
  <si>
    <t>Indie Folk</t>
  </si>
  <si>
    <t>Hip Hop/Rap</t>
  </si>
  <si>
    <t>Atulprasadi</t>
  </si>
  <si>
    <t>Carol</t>
  </si>
  <si>
    <t xml:space="preserve">Lounge </t>
  </si>
  <si>
    <t>Garage</t>
  </si>
  <si>
    <t>Bass</t>
  </si>
  <si>
    <t>Adult Alternative</t>
  </si>
  <si>
    <t>Meditation</t>
  </si>
  <si>
    <t>Sing-Along</t>
  </si>
  <si>
    <t>Soft Rock</t>
  </si>
  <si>
    <t>Indie Hip-Hop</t>
  </si>
  <si>
    <t>Underground Rap</t>
  </si>
  <si>
    <t>Baalgeet/ Children Song</t>
  </si>
  <si>
    <t>Chalisa</t>
  </si>
  <si>
    <t>Hardcore</t>
  </si>
  <si>
    <t>Downtempo</t>
  </si>
  <si>
    <t>Arena Rock</t>
  </si>
  <si>
    <t>Nature</t>
  </si>
  <si>
    <t>Stories</t>
  </si>
  <si>
    <t>BGM</t>
  </si>
  <si>
    <t>Love  Songs</t>
  </si>
  <si>
    <t xml:space="preserve">Indie Lo-Fi </t>
  </si>
  <si>
    <t>Old School Rap</t>
  </si>
  <si>
    <t>Banvarh</t>
  </si>
  <si>
    <t>Chant</t>
  </si>
  <si>
    <t>House</t>
  </si>
  <si>
    <t>Dubstep</t>
  </si>
  <si>
    <t>Blues-Rock</t>
  </si>
  <si>
    <t>Relaxation</t>
  </si>
  <si>
    <t xml:space="preserve">Band Songs </t>
  </si>
  <si>
    <t>Sad Songs</t>
  </si>
  <si>
    <t>Indie Pop</t>
  </si>
  <si>
    <t>Hardcore Rap</t>
  </si>
  <si>
    <t>Barhamasa</t>
  </si>
  <si>
    <t xml:space="preserve">Geet </t>
  </si>
  <si>
    <t>Techno</t>
  </si>
  <si>
    <t>Electro-Cha'abi</t>
  </si>
  <si>
    <t>Death Metal/Black Metal</t>
  </si>
  <si>
    <t>Travel</t>
  </si>
  <si>
    <t xml:space="preserve">Chill Pop </t>
  </si>
  <si>
    <t>Indie Rock</t>
  </si>
  <si>
    <t>Gangsta Rap</t>
  </si>
  <si>
    <t xml:space="preserve">Basant Geet </t>
  </si>
  <si>
    <t xml:space="preserve">Gospel </t>
  </si>
  <si>
    <t>Trance</t>
  </si>
  <si>
    <t>Electronica</t>
  </si>
  <si>
    <t>Glam Rock</t>
  </si>
  <si>
    <t>Yoga</t>
  </si>
  <si>
    <t>Contemporary Pop</t>
  </si>
  <si>
    <t xml:space="preserve">Indie Singer -Songwriter </t>
  </si>
  <si>
    <t>Alternative Rap</t>
  </si>
  <si>
    <t>Baul Geet</t>
  </si>
  <si>
    <t>Gurbani</t>
  </si>
  <si>
    <t>IDM/Experimental</t>
  </si>
  <si>
    <t>Hair Metal</t>
  </si>
  <si>
    <t>Country Pop/ Regional Pop</t>
  </si>
  <si>
    <t xml:space="preserve">Bhadu Gaan </t>
  </si>
  <si>
    <t xml:space="preserve">Hymn </t>
  </si>
  <si>
    <t>Industrial</t>
  </si>
  <si>
    <t>Hard Rock</t>
  </si>
  <si>
    <t>Dance Pop</t>
  </si>
  <si>
    <t>Bhagawati</t>
  </si>
  <si>
    <t>Kirtan</t>
  </si>
  <si>
    <t>Heavy Metal</t>
  </si>
  <si>
    <t>Electro Pop</t>
  </si>
  <si>
    <t>Bhand</t>
  </si>
  <si>
    <t xml:space="preserve">Kirtan </t>
  </si>
  <si>
    <t>Jam Bands</t>
  </si>
  <si>
    <t>Lo-Fi Pop</t>
  </si>
  <si>
    <t>Bhangra</t>
  </si>
  <si>
    <t>Mantra</t>
  </si>
  <si>
    <t>Prog-Rock/Art Rock</t>
  </si>
  <si>
    <t>Bhatiali</t>
  </si>
  <si>
    <t>Psychedelic</t>
  </si>
  <si>
    <t>Bhavageete   </t>
  </si>
  <si>
    <t>Paath</t>
  </si>
  <si>
    <t>Rock &amp; Roll</t>
  </si>
  <si>
    <t>Bhawaiya</t>
  </si>
  <si>
    <t xml:space="preserve">Islamic </t>
  </si>
  <si>
    <t>Rockabilly</t>
  </si>
  <si>
    <t>Bhuta song</t>
  </si>
  <si>
    <t>Shabd</t>
  </si>
  <si>
    <t>Roots Rock</t>
  </si>
  <si>
    <t>Bihugeet</t>
  </si>
  <si>
    <t>Christian Pop</t>
  </si>
  <si>
    <t>Singer/Songwriter</t>
  </si>
  <si>
    <t>Birha</t>
  </si>
  <si>
    <t>Christian Rock</t>
  </si>
  <si>
    <t>Surf</t>
  </si>
  <si>
    <t>Borgeet</t>
  </si>
  <si>
    <t>Burrakatha</t>
  </si>
  <si>
    <t>Chappeli</t>
  </si>
  <si>
    <t>Daff</t>
  </si>
  <si>
    <t>Dandiya Raas</t>
  </si>
  <si>
    <t>Dasakathia</t>
  </si>
  <si>
    <t>Deijendrageeti</t>
  </si>
  <si>
    <t>Deknni</t>
  </si>
  <si>
    <t>Dhamal</t>
  </si>
  <si>
    <t>Gadhwali</t>
  </si>
  <si>
    <t>Gagor</t>
  </si>
  <si>
    <t>Garba</t>
  </si>
  <si>
    <t>Ghasiyari Geet</t>
  </si>
  <si>
    <t xml:space="preserve">Ghoomar </t>
  </si>
  <si>
    <t>Gidda</t>
  </si>
  <si>
    <t>Gugga</t>
  </si>
  <si>
    <t>Hafiz Nagma</t>
  </si>
  <si>
    <t>Heliam</t>
  </si>
  <si>
    <t>Hereileu</t>
  </si>
  <si>
    <t>Hori</t>
  </si>
  <si>
    <t>Jaanapada Geethe</t>
  </si>
  <si>
    <t>Jaita</t>
  </si>
  <si>
    <t>Jhoori</t>
  </si>
  <si>
    <t>Jhora</t>
  </si>
  <si>
    <t>Jhumur</t>
  </si>
  <si>
    <t>Jugni</t>
  </si>
  <si>
    <t>Kajari</t>
  </si>
  <si>
    <t xml:space="preserve">Kajari/ Kajari /Kajri </t>
  </si>
  <si>
    <t xml:space="preserve">Karwa Chauth Songs </t>
  </si>
  <si>
    <t>Khor</t>
  </si>
  <si>
    <t>Koligeet</t>
  </si>
  <si>
    <t>Kumayuni</t>
  </si>
  <si>
    <t>Kummi Paatu  </t>
  </si>
  <si>
    <t>Lagna Geet /Marriage Song</t>
  </si>
  <si>
    <t xml:space="preserve">Lalongeeti </t>
  </si>
  <si>
    <t>Lavani</t>
  </si>
  <si>
    <t>Lokgeet</t>
  </si>
  <si>
    <t>Loor</t>
  </si>
  <si>
    <t>Maand</t>
  </si>
  <si>
    <t>Madiga Dappu</t>
  </si>
  <si>
    <t>Mando</t>
  </si>
  <si>
    <t>Mapilla</t>
  </si>
  <si>
    <t>Naatupura Paadalgal</t>
  </si>
  <si>
    <t>Naqual</t>
  </si>
  <si>
    <t>Nati </t>
  </si>
  <si>
    <t>Nautanki</t>
  </si>
  <si>
    <t xml:space="preserve">Nazrulgeeti </t>
  </si>
  <si>
    <t>Neuleu</t>
  </si>
  <si>
    <t>Nyioga</t>
  </si>
  <si>
    <t>Oggu Katha</t>
  </si>
  <si>
    <t>Paani Hari</t>
  </si>
  <si>
    <t xml:space="preserve">Pai Song </t>
  </si>
  <si>
    <t>Pandavani</t>
  </si>
  <si>
    <t>Pankhida</t>
  </si>
  <si>
    <t>Patua Sangeet</t>
  </si>
  <si>
    <t>Phag Dance</t>
  </si>
  <si>
    <t>Powada</t>
  </si>
  <si>
    <t>Qawwali</t>
  </si>
  <si>
    <t xml:space="preserve">Rabindra Sangeet </t>
  </si>
  <si>
    <t>Rajanikantageeti</t>
  </si>
  <si>
    <t>Ramprasadi</t>
  </si>
  <si>
    <t>Rasiya</t>
  </si>
  <si>
    <t xml:space="preserve">Rasiya Geet </t>
  </si>
  <si>
    <t>Raslila</t>
  </si>
  <si>
    <t>Raut Nacha </t>
  </si>
  <si>
    <t>Saikuthi Zai</t>
  </si>
  <si>
    <t>Sana Lamok</t>
  </si>
  <si>
    <t>Shakunakhar-Mangalgeet</t>
  </si>
  <si>
    <t>Shyama Sangeet</t>
  </si>
  <si>
    <t>Sohar</t>
  </si>
  <si>
    <t>Sumangali</t>
  </si>
  <si>
    <t>Surma</t>
  </si>
  <si>
    <t>Suvvi paatalu</t>
  </si>
  <si>
    <t>Tappa</t>
  </si>
  <si>
    <t xml:space="preserve">Teej songs </t>
  </si>
  <si>
    <t>Tusu Gaan</t>
  </si>
  <si>
    <t>Villu Pattu</t>
  </si>
  <si>
    <t>Qawwals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</si>
</sst>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4C4A4A"/>
      <name val="Calibri"/>
    </font>
    <font>
      <sz val="11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2" borderId="0" xfId="0" applyFont="1" applyFill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Advance%20Metadata%20Ingestion%20Format16102025%20(3).xlsx" TargetMode="External"/><Relationship Id="rId1" Type="http://schemas.openxmlformats.org/officeDocument/2006/relationships/externalLinkPath" Target="Advance%20Metadata%20Ingestion%20Format16102025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DATA"/>
      <sheetName val="Metadata-details"/>
      <sheetName val="language"/>
      <sheetName val="Genre"/>
      <sheetName val="Sub Genre"/>
      <sheetName val="Genre - Sub Genre"/>
      <sheetName val="Album Type"/>
      <sheetName val="Content Type"/>
      <sheetName val="Mood"/>
      <sheetName val="Pay To Rights"/>
      <sheetName val="Parental Advisory"/>
    </sheetNames>
    <sheetDataSet>
      <sheetData sheetId="0">
        <row r="2">
          <cell r="G2" t="str">
            <v>HipHop/Rap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C88F-0632-44E9-9372-DAECBD579B44}">
  <dimension ref="A1:S99"/>
  <sheetViews>
    <sheetView tabSelected="1" workbookViewId="0">
      <selection activeCell="K9" sqref="K9"/>
    </sheetView>
  </sheetViews>
  <sheetFormatPr defaultRowHeight="15" x14ac:dyDescent="0.25"/>
  <cols>
    <col min="1" max="1" width="21.42578125" bestFit="1" customWidth="1"/>
    <col min="2" max="2" width="11.7109375" bestFit="1" customWidth="1"/>
    <col min="3" max="3" width="25.140625" bestFit="1" customWidth="1"/>
    <col min="4" max="4" width="26.5703125" bestFit="1" customWidth="1"/>
    <col min="5" max="5" width="21" bestFit="1" customWidth="1"/>
    <col min="6" max="6" width="25.140625" bestFit="1" customWidth="1"/>
    <col min="7" max="7" width="23.28515625" bestFit="1" customWidth="1"/>
    <col min="8" max="8" width="16.5703125" bestFit="1" customWidth="1"/>
    <col min="9" max="9" width="25" bestFit="1" customWidth="1"/>
    <col min="10" max="10" width="13.5703125" bestFit="1" customWidth="1"/>
    <col min="11" max="11" width="18.7109375" bestFit="1" customWidth="1"/>
    <col min="12" max="12" width="16.140625" bestFit="1" customWidth="1"/>
    <col min="13" max="13" width="21.42578125" bestFit="1" customWidth="1"/>
    <col min="14" max="14" width="10" bestFit="1" customWidth="1"/>
    <col min="15" max="15" width="17.5703125" bestFit="1" customWidth="1"/>
    <col min="16" max="16" width="23.28515625" bestFit="1" customWidth="1"/>
    <col min="17" max="18" width="10.85546875" bestFit="1" customWidth="1"/>
    <col min="19" max="19" width="15.5703125" bestFit="1" customWidth="1"/>
  </cols>
  <sheetData>
    <row r="1" spans="1:19" x14ac:dyDescent="0.25">
      <c r="A1" s="1" t="s">
        <v>0</v>
      </c>
      <c r="B1" s="2"/>
      <c r="D1" s="3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4" t="s">
        <v>6</v>
      </c>
      <c r="J1" s="4" t="s">
        <v>7</v>
      </c>
      <c r="K1" s="5" t="s">
        <v>8</v>
      </c>
      <c r="L1" s="5" t="s">
        <v>9</v>
      </c>
      <c r="M1" s="5" t="s">
        <v>10</v>
      </c>
      <c r="N1" s="4" t="s">
        <v>11</v>
      </c>
      <c r="O1" s="4" t="s">
        <v>12</v>
      </c>
      <c r="P1" s="4" t="s">
        <v>13</v>
      </c>
      <c r="Q1" s="5" t="s">
        <v>14</v>
      </c>
      <c r="R1" s="4" t="s">
        <v>15</v>
      </c>
      <c r="S1" s="4" t="s">
        <v>16</v>
      </c>
    </row>
    <row r="2" spans="1:19" ht="30" x14ac:dyDescent="0.25">
      <c r="A2" s="5" t="s">
        <v>2</v>
      </c>
      <c r="B2" s="5" t="s">
        <v>2</v>
      </c>
      <c r="C2" s="6" t="s">
        <v>17</v>
      </c>
      <c r="D2" s="7" t="str">
        <f t="array" ref="D2">IFERROR(
  INDEX($C$2:$C$250,
    SMALL(
      IF($B$2:$B$250 = [1]METADATA!G$2,
         ROW($C$2:$C$250) - ROW($C$2) + 1
      ),
      ROWS($D$2:D2)
    )
  ),
"")</f>
        <v>Alternative Rap</v>
      </c>
      <c r="E2" s="6" t="s">
        <v>17</v>
      </c>
      <c r="F2" s="6" t="s">
        <v>18</v>
      </c>
      <c r="G2" s="6" t="s">
        <v>19</v>
      </c>
      <c r="H2" s="8" t="s">
        <v>20</v>
      </c>
      <c r="I2" s="9" t="s">
        <v>21</v>
      </c>
      <c r="J2" s="8" t="s">
        <v>22</v>
      </c>
      <c r="K2" s="8" t="s">
        <v>23</v>
      </c>
      <c r="L2" s="8" t="s">
        <v>23</v>
      </c>
      <c r="M2" s="8" t="s">
        <v>24</v>
      </c>
      <c r="N2" s="3" t="s">
        <v>11</v>
      </c>
      <c r="O2" s="3" t="s">
        <v>12</v>
      </c>
      <c r="P2" s="3" t="s">
        <v>25</v>
      </c>
      <c r="Q2" s="3" t="s">
        <v>14</v>
      </c>
      <c r="R2" s="3" t="s">
        <v>15</v>
      </c>
      <c r="S2" s="4" t="s">
        <v>16</v>
      </c>
    </row>
    <row r="3" spans="1:19" ht="30" x14ac:dyDescent="0.25">
      <c r="A3" s="5" t="s">
        <v>3</v>
      </c>
      <c r="B3" s="5" t="s">
        <v>2</v>
      </c>
      <c r="C3" s="6" t="s">
        <v>26</v>
      </c>
      <c r="D3" s="7" t="str">
        <f t="array" ref="D3">IFERROR(
  INDEX($C$2:$C$250,
    SMALL(
      IF($B$2:$B$250 = [1]METADATA!G$2,
         ROW($C$2:$C$250) - ROW($C$2) + 1
      ),
      ROWS($D$2:D3)
    )
  ),
"")</f>
        <v>Gangsta Rap</v>
      </c>
      <c r="E3" s="6" t="s">
        <v>26</v>
      </c>
      <c r="F3" s="6" t="s">
        <v>27</v>
      </c>
      <c r="G3" s="6" t="s">
        <v>28</v>
      </c>
      <c r="H3" s="8" t="s">
        <v>29</v>
      </c>
      <c r="I3" s="10" t="s">
        <v>30</v>
      </c>
      <c r="J3" s="8" t="s">
        <v>31</v>
      </c>
      <c r="K3" s="8" t="s">
        <v>32</v>
      </c>
      <c r="L3" s="8" t="s">
        <v>32</v>
      </c>
      <c r="M3" s="8" t="s">
        <v>33</v>
      </c>
      <c r="N3" s="3" t="s">
        <v>34</v>
      </c>
      <c r="O3" s="3" t="s">
        <v>35</v>
      </c>
      <c r="P3" s="3" t="s">
        <v>36</v>
      </c>
      <c r="Q3" s="3" t="s">
        <v>37</v>
      </c>
      <c r="R3" s="3" t="s">
        <v>38</v>
      </c>
      <c r="S3" s="3" t="s">
        <v>39</v>
      </c>
    </row>
    <row r="4" spans="1:19" ht="30" x14ac:dyDescent="0.25">
      <c r="A4" s="5" t="s">
        <v>4</v>
      </c>
      <c r="B4" s="5" t="s">
        <v>2</v>
      </c>
      <c r="C4" s="6" t="s">
        <v>7</v>
      </c>
      <c r="D4" s="7" t="str">
        <f t="array" ref="D4">IFERROR(
  INDEX($C$2:$C$250,
    SMALL(
      IF($B$2:$B$250 = [1]METADATA!G$2,
         ROW($C$2:$C$250) - ROW($C$2) + 1
      ),
      ROWS($D$2:D4)
    )
  ),
"")</f>
        <v>Hardcore Rap</v>
      </c>
      <c r="E4" s="6" t="s">
        <v>7</v>
      </c>
      <c r="F4" s="6" t="s">
        <v>36</v>
      </c>
      <c r="G4" s="6" t="s">
        <v>40</v>
      </c>
      <c r="H4" s="8" t="s">
        <v>41</v>
      </c>
      <c r="I4" s="9" t="s">
        <v>42</v>
      </c>
      <c r="J4" s="8" t="s">
        <v>43</v>
      </c>
      <c r="M4" s="8" t="s">
        <v>44</v>
      </c>
      <c r="N4" s="3" t="s">
        <v>45</v>
      </c>
      <c r="O4" s="3" t="s">
        <v>46</v>
      </c>
      <c r="P4" s="3" t="s">
        <v>47</v>
      </c>
      <c r="Q4" s="3" t="s">
        <v>48</v>
      </c>
      <c r="S4" s="3" t="s">
        <v>49</v>
      </c>
    </row>
    <row r="5" spans="1:19" ht="30" x14ac:dyDescent="0.25">
      <c r="A5" s="5" t="s">
        <v>5</v>
      </c>
      <c r="B5" s="5" t="s">
        <v>2</v>
      </c>
      <c r="C5" s="6" t="s">
        <v>23</v>
      </c>
      <c r="D5" s="7" t="str">
        <f t="array" ref="D5">IFERROR(
  INDEX($C$2:$C$250,
    SMALL(
      IF($B$2:$B$250 = [1]METADATA!G$2,
         ROW($C$2:$C$250) - ROW($C$2) + 1
      ),
      ROWS($D$2:D5)
    )
  ),
"")</f>
        <v>Hip Hop/Rap</v>
      </c>
      <c r="E5" s="6" t="s">
        <v>23</v>
      </c>
      <c r="F5" s="6" t="s">
        <v>50</v>
      </c>
      <c r="G5" s="6" t="s">
        <v>51</v>
      </c>
      <c r="H5" s="8" t="s">
        <v>52</v>
      </c>
      <c r="I5" s="8" t="s">
        <v>53</v>
      </c>
      <c r="J5" s="8" t="s">
        <v>54</v>
      </c>
      <c r="M5" s="8"/>
      <c r="N5" s="3" t="s">
        <v>55</v>
      </c>
      <c r="O5" s="3" t="s">
        <v>56</v>
      </c>
      <c r="P5" s="3" t="s">
        <v>57</v>
      </c>
      <c r="Q5" s="3" t="s">
        <v>58</v>
      </c>
      <c r="S5" s="8" t="s">
        <v>59</v>
      </c>
    </row>
    <row r="6" spans="1:19" x14ac:dyDescent="0.25">
      <c r="A6" s="5" t="s">
        <v>6</v>
      </c>
      <c r="B6" s="5" t="s">
        <v>2</v>
      </c>
      <c r="C6" s="6" t="s">
        <v>60</v>
      </c>
      <c r="D6" s="7" t="str">
        <f t="array" ref="D6">IFERROR(
  INDEX($C$2:$C$250,
    SMALL(
      IF($B$2:$B$250 = [1]METADATA!G$2,
         ROW($C$2:$C$250) - ROW($C$2) + 1
      ),
      ROWS($D$2:D6)
    )
  ),
"")</f>
        <v>Hip-Hop</v>
      </c>
      <c r="E6" s="6" t="s">
        <v>60</v>
      </c>
      <c r="F6" s="6" t="s">
        <v>61</v>
      </c>
      <c r="G6" s="6" t="s">
        <v>62</v>
      </c>
      <c r="H6" s="8" t="s">
        <v>63</v>
      </c>
      <c r="I6" s="9" t="s">
        <v>64</v>
      </c>
      <c r="J6" s="8" t="s">
        <v>65</v>
      </c>
      <c r="M6" s="8"/>
      <c r="N6" s="3" t="s">
        <v>66</v>
      </c>
      <c r="O6" s="3" t="s">
        <v>67</v>
      </c>
      <c r="P6" s="3" t="s">
        <v>68</v>
      </c>
      <c r="Q6" s="3" t="s">
        <v>69</v>
      </c>
    </row>
    <row r="7" spans="1:19" ht="45" x14ac:dyDescent="0.25">
      <c r="A7" s="5" t="s">
        <v>7</v>
      </c>
      <c r="B7" s="5" t="s">
        <v>3</v>
      </c>
      <c r="C7" s="6" t="s">
        <v>70</v>
      </c>
      <c r="D7" s="7" t="str">
        <f t="array" ref="D7">IFERROR(
  INDEX($C$2:$C$250,
    SMALL(
      IF($B$2:$B$250 = [1]METADATA!G$2,
         ROW($C$2:$C$250) - ROW($C$2) + 1
      ),
      ROWS($D$2:D7)
    )
  ),
"")</f>
        <v>Old School Rap</v>
      </c>
      <c r="F7" s="6" t="s">
        <v>71</v>
      </c>
      <c r="G7" s="6" t="s">
        <v>72</v>
      </c>
      <c r="H7" s="8" t="s">
        <v>73</v>
      </c>
      <c r="I7" s="10" t="s">
        <v>74</v>
      </c>
      <c r="J7" s="8" t="s">
        <v>75</v>
      </c>
      <c r="N7" s="3" t="s">
        <v>76</v>
      </c>
      <c r="O7" s="3" t="s">
        <v>77</v>
      </c>
      <c r="P7" s="3" t="s">
        <v>78</v>
      </c>
      <c r="Q7" s="3" t="s">
        <v>79</v>
      </c>
    </row>
    <row r="8" spans="1:19" x14ac:dyDescent="0.25">
      <c r="A8" s="5" t="s">
        <v>8</v>
      </c>
      <c r="B8" s="5" t="s">
        <v>3</v>
      </c>
      <c r="C8" s="6" t="s">
        <v>80</v>
      </c>
      <c r="D8" s="7" t="str">
        <f t="array" ref="D8">IFERROR(
  INDEX($C$2:$C$250,
    SMALL(
      IF($B$2:$B$250 = [1]METADATA!G$2,
         ROW($C$2:$C$250) - ROW($C$2) + 1
      ),
      ROWS($D$2:D8)
    )
  ),
"")</f>
        <v>Rap</v>
      </c>
      <c r="F8" s="6" t="s">
        <v>80</v>
      </c>
      <c r="G8" s="6" t="s">
        <v>81</v>
      </c>
      <c r="H8" s="8" t="s">
        <v>82</v>
      </c>
      <c r="I8" s="10" t="s">
        <v>83</v>
      </c>
      <c r="J8" s="8" t="s">
        <v>84</v>
      </c>
      <c r="N8" s="3" t="s">
        <v>85</v>
      </c>
      <c r="O8" s="3" t="s">
        <v>86</v>
      </c>
      <c r="P8" s="3" t="s">
        <v>87</v>
      </c>
      <c r="Q8" s="3" t="s">
        <v>88</v>
      </c>
    </row>
    <row r="9" spans="1:19" ht="45" x14ac:dyDescent="0.25">
      <c r="A9" s="5" t="s">
        <v>9</v>
      </c>
      <c r="B9" s="5" t="s">
        <v>3</v>
      </c>
      <c r="C9" s="6" t="s">
        <v>89</v>
      </c>
      <c r="D9" s="7" t="str">
        <f t="array" ref="D9">IFERROR(
  INDEX($C$2:$C$250,
    SMALL(
      IF($B$2:$B$250 = [1]METADATA!G$2,
         ROW($C$2:$C$250) - ROW($C$2) + 1
      ),
      ROWS($D$2:D9)
    )
  ),
"")</f>
        <v>Underground Rap</v>
      </c>
      <c r="F9" s="6" t="s">
        <v>89</v>
      </c>
      <c r="G9" s="6" t="s">
        <v>90</v>
      </c>
      <c r="H9" s="8" t="s">
        <v>91</v>
      </c>
      <c r="I9" s="8" t="s">
        <v>92</v>
      </c>
      <c r="J9" s="8" t="s">
        <v>93</v>
      </c>
      <c r="O9" s="3" t="s">
        <v>94</v>
      </c>
      <c r="P9" s="3" t="s">
        <v>95</v>
      </c>
    </row>
    <row r="10" spans="1:19" x14ac:dyDescent="0.25">
      <c r="A10" s="5" t="s">
        <v>10</v>
      </c>
      <c r="B10" s="5" t="s">
        <v>3</v>
      </c>
      <c r="C10" s="6" t="s">
        <v>96</v>
      </c>
      <c r="D10" s="7" t="str">
        <f t="array" ref="D10">IFERROR(
  INDEX($C$2:$C$250,
    SMALL(
      IF($B$2:$B$250 = [1]METADATA!G$2,
         ROW($C$2:$C$250) - ROW($C$2) + 1
      ),
      ROWS($D$2:D10)
    )
  ),
"")</f>
        <v/>
      </c>
      <c r="F10" s="6" t="s">
        <v>96</v>
      </c>
      <c r="H10" s="8"/>
      <c r="I10" s="9" t="s">
        <v>97</v>
      </c>
      <c r="J10" s="8" t="s">
        <v>98</v>
      </c>
      <c r="O10" s="3" t="s">
        <v>99</v>
      </c>
      <c r="P10" s="3" t="s">
        <v>100</v>
      </c>
    </row>
    <row r="11" spans="1:19" x14ac:dyDescent="0.25">
      <c r="A11" s="5" t="s">
        <v>11</v>
      </c>
      <c r="B11" s="5" t="s">
        <v>3</v>
      </c>
      <c r="C11" s="6" t="s">
        <v>101</v>
      </c>
      <c r="D11" s="7" t="str">
        <f t="array" ref="D11">IFERROR(
  INDEX($C$2:$C$250,
    SMALL(
      IF($B$2:$B$250 = [1]METADATA!G$2,
         ROW($C$2:$C$250) - ROW($C$2) + 1
      ),
      ROWS($D$2:D11)
    )
  ),
"")</f>
        <v/>
      </c>
      <c r="F11" s="6" t="s">
        <v>101</v>
      </c>
      <c r="I11" s="10" t="s">
        <v>102</v>
      </c>
      <c r="J11" s="8" t="s">
        <v>103</v>
      </c>
      <c r="P11" s="3" t="s">
        <v>104</v>
      </c>
    </row>
    <row r="12" spans="1:19" x14ac:dyDescent="0.25">
      <c r="A12" s="5" t="s">
        <v>12</v>
      </c>
      <c r="B12" s="5" t="s">
        <v>3</v>
      </c>
      <c r="C12" s="6" t="s">
        <v>105</v>
      </c>
      <c r="D12" s="7" t="str">
        <f t="array" ref="D12">IFERROR(
  INDEX($C$2:$C$250,
    SMALL(
      IF($B$2:$B$250 = [1]METADATA!G$2,
         ROW($C$2:$C$250) - ROW($C$2) + 1
      ),
      ROWS($D$2:D12)
    )
  ),
"")</f>
        <v/>
      </c>
      <c r="F12" s="6" t="s">
        <v>105</v>
      </c>
      <c r="I12" s="8" t="s">
        <v>106</v>
      </c>
      <c r="J12" s="8" t="s">
        <v>107</v>
      </c>
      <c r="P12" s="3" t="s">
        <v>108</v>
      </c>
    </row>
    <row r="13" spans="1:19" x14ac:dyDescent="0.25">
      <c r="A13" s="5" t="s">
        <v>13</v>
      </c>
      <c r="B13" s="5" t="s">
        <v>3</v>
      </c>
      <c r="C13" s="6" t="s">
        <v>18</v>
      </c>
      <c r="D13" s="7" t="str">
        <f t="array" ref="D13">IFERROR(
  INDEX($C$2:$C$250,
    SMALL(
      IF($B$2:$B$250 = [1]METADATA!G$2,
         ROW($C$2:$C$250) - ROW($C$2) + 1
      ),
      ROWS($D$2:D13)
    )
  ),
"")</f>
        <v/>
      </c>
      <c r="F13" s="6" t="s">
        <v>109</v>
      </c>
      <c r="I13" s="9" t="s">
        <v>110</v>
      </c>
      <c r="J13" s="8" t="s">
        <v>111</v>
      </c>
      <c r="P13" s="3" t="s">
        <v>112</v>
      </c>
    </row>
    <row r="14" spans="1:19" x14ac:dyDescent="0.25">
      <c r="A14" s="5" t="s">
        <v>14</v>
      </c>
      <c r="B14" s="5" t="s">
        <v>3</v>
      </c>
      <c r="C14" s="6" t="s">
        <v>109</v>
      </c>
      <c r="D14" s="7" t="str">
        <f t="array" ref="D14">IFERROR(
  INDEX($C$2:$C$250,
    SMALL(
      IF($B$2:$B$250 = [1]METADATA!G$2,
         ROW($C$2:$C$250) - ROW($C$2) + 1
      ),
      ROWS($D$2:D14)
    )
  ),
"")</f>
        <v/>
      </c>
      <c r="F14" s="6" t="s">
        <v>70</v>
      </c>
      <c r="I14" s="9" t="s">
        <v>113</v>
      </c>
      <c r="J14" s="8" t="s">
        <v>111</v>
      </c>
      <c r="P14" s="3" t="s">
        <v>114</v>
      </c>
    </row>
    <row r="15" spans="1:19" x14ac:dyDescent="0.25">
      <c r="A15" s="5" t="s">
        <v>15</v>
      </c>
      <c r="B15" s="5" t="s">
        <v>3</v>
      </c>
      <c r="C15" s="6" t="s">
        <v>61</v>
      </c>
      <c r="D15" s="7" t="str">
        <f t="array" ref="D15">IFERROR(
  INDEX($C$2:$C$250,
    SMALL(
      IF($B$2:$B$250 = [1]METADATA!G$2,
         ROW($C$2:$C$250) - ROW($C$2) + 1
      ),
      ROWS($D$2:D15)
    )
  ),
"")</f>
        <v/>
      </c>
      <c r="I15" s="9" t="s">
        <v>115</v>
      </c>
      <c r="J15" s="8" t="s">
        <v>116</v>
      </c>
      <c r="P15" s="3" t="s">
        <v>117</v>
      </c>
    </row>
    <row r="16" spans="1:19" x14ac:dyDescent="0.25">
      <c r="A16" s="5" t="s">
        <v>16</v>
      </c>
      <c r="B16" s="5" t="s">
        <v>3</v>
      </c>
      <c r="C16" s="6" t="s">
        <v>27</v>
      </c>
      <c r="D16" s="7" t="str">
        <f t="array" ref="D16">IFERROR(
  INDEX($C$2:$C$250,
    SMALL(
      IF($B$2:$B$250 = [1]METADATA!G$2,
         ROW($C$2:$C$250) - ROW($C$2) + 1
      ),
      ROWS($D$2:D16)
    )
  ),
"")</f>
        <v/>
      </c>
      <c r="I16" s="9" t="s">
        <v>118</v>
      </c>
      <c r="J16" s="8" t="s">
        <v>119</v>
      </c>
      <c r="P16" s="3" t="s">
        <v>120</v>
      </c>
    </row>
    <row r="17" spans="1:16" x14ac:dyDescent="0.25">
      <c r="A17" s="8"/>
      <c r="B17" s="5" t="s">
        <v>3</v>
      </c>
      <c r="C17" s="6" t="s">
        <v>36</v>
      </c>
      <c r="D17" s="7" t="str">
        <f t="array" ref="D17">IFERROR(
  INDEX($C$2:$C$250,
    SMALL(
      IF($B$2:$B$250 = [1]METADATA!G$2,
         ROW($C$2:$C$250) - ROW($C$2) + 1
      ),
      ROWS($D$2:D17)
    )
  ),
"")</f>
        <v/>
      </c>
      <c r="I17" s="9" t="s">
        <v>121</v>
      </c>
      <c r="J17" s="8" t="s">
        <v>122</v>
      </c>
      <c r="P17" s="3" t="s">
        <v>123</v>
      </c>
    </row>
    <row r="18" spans="1:16" x14ac:dyDescent="0.25">
      <c r="A18" s="8"/>
      <c r="B18" s="5" t="s">
        <v>3</v>
      </c>
      <c r="C18" s="6" t="s">
        <v>71</v>
      </c>
      <c r="D18" s="7" t="str">
        <f t="array" ref="D18">IFERROR(
  INDEX($C$2:$C$250,
    SMALL(
      IF($B$2:$B$250 = [1]METADATA!G$2,
         ROW($C$2:$C$250) - ROW($C$2) + 1
      ),
      ROWS($D$2:D18)
    )
  ),
"")</f>
        <v/>
      </c>
      <c r="I18" s="9" t="s">
        <v>124</v>
      </c>
      <c r="J18" s="8" t="s">
        <v>125</v>
      </c>
      <c r="P18" s="3" t="s">
        <v>126</v>
      </c>
    </row>
    <row r="19" spans="1:16" x14ac:dyDescent="0.25">
      <c r="A19" s="8"/>
      <c r="B19" s="5" t="s">
        <v>3</v>
      </c>
      <c r="C19" s="6" t="s">
        <v>50</v>
      </c>
      <c r="D19" s="7" t="str">
        <f t="array" ref="D19">IFERROR(
  INDEX($C$2:$C$250,
    SMALL(
      IF($B$2:$B$250 = [1]METADATA!G$2,
         ROW($C$2:$C$250) - ROW($C$2) + 1
      ),
      ROWS($D$2:D19)
    )
  ),
"")</f>
        <v/>
      </c>
      <c r="I19" s="9" t="s">
        <v>127</v>
      </c>
      <c r="J19" s="3" t="s">
        <v>128</v>
      </c>
      <c r="P19" s="3" t="s">
        <v>129</v>
      </c>
    </row>
    <row r="20" spans="1:16" x14ac:dyDescent="0.25">
      <c r="A20" s="8"/>
      <c r="B20" s="5" t="s">
        <v>4</v>
      </c>
      <c r="C20" s="6" t="s">
        <v>19</v>
      </c>
      <c r="D20" s="7" t="str">
        <f t="array" ref="D20">IFERROR(
  INDEX($C$2:$C$250,
    SMALL(
      IF($B$2:$B$250 = [1]METADATA!G$2,
         ROW($C$2:$C$250) - ROW($C$2) + 1
      ),
      ROWS($D$2:D20)
    )
  ),
"")</f>
        <v/>
      </c>
      <c r="I20" s="8" t="s">
        <v>130</v>
      </c>
    </row>
    <row r="21" spans="1:16" x14ac:dyDescent="0.25">
      <c r="A21" s="8"/>
      <c r="B21" s="5" t="s">
        <v>4</v>
      </c>
      <c r="C21" s="6" t="s">
        <v>28</v>
      </c>
      <c r="D21" s="7" t="str">
        <f t="array" ref="D21">IFERROR(
  INDEX($C$2:$C$250,
    SMALL(
      IF($B$2:$B$250 = [1]METADATA!G$2,
         ROW($C$2:$C$250) - ROW($C$2) + 1
      ),
      ROWS($D$2:D21)
    )
  ),
"")</f>
        <v/>
      </c>
      <c r="I21" s="9" t="s">
        <v>131</v>
      </c>
    </row>
    <row r="22" spans="1:16" x14ac:dyDescent="0.25">
      <c r="A22" s="8"/>
      <c r="B22" s="5" t="s">
        <v>4</v>
      </c>
      <c r="C22" s="6" t="s">
        <v>40</v>
      </c>
      <c r="D22" s="7" t="str">
        <f t="array" ref="D22">IFERROR(
  INDEX($C$2:$C$250,
    SMALL(
      IF($B$2:$B$250 = [1]METADATA!G$2,
         ROW($C$2:$C$250) - ROW($C$2) + 1
      ),
      ROWS($D$2:D22)
    )
  ),
"")</f>
        <v/>
      </c>
      <c r="I22" s="8" t="s">
        <v>132</v>
      </c>
    </row>
    <row r="23" spans="1:16" x14ac:dyDescent="0.25">
      <c r="A23" s="8"/>
      <c r="B23" s="5" t="s">
        <v>4</v>
      </c>
      <c r="C23" s="6" t="s">
        <v>51</v>
      </c>
      <c r="D23" s="7" t="str">
        <f t="array" ref="D23">IFERROR(
  INDEX($C$2:$C$250,
    SMALL(
      IF($B$2:$B$250 = [1]METADATA!G$2,
         ROW($C$2:$C$250) - ROW($C$2) + 1
      ),
      ROWS($D$2:D23)
    )
  ),
"")</f>
        <v/>
      </c>
      <c r="I23" s="8" t="s">
        <v>133</v>
      </c>
    </row>
    <row r="24" spans="1:16" x14ac:dyDescent="0.25">
      <c r="A24" s="8"/>
      <c r="B24" s="5" t="s">
        <v>4</v>
      </c>
      <c r="C24" s="6" t="s">
        <v>62</v>
      </c>
      <c r="D24" s="7" t="str">
        <f t="array" ref="D24">IFERROR(
  INDEX($C$2:$C$250,
    SMALL(
      IF($B$2:$B$250 = [1]METADATA!G$2,
         ROW($C$2:$C$250) - ROW($C$2) + 1
      ),
      ROWS($D$2:D24)
    )
  ),
"")</f>
        <v/>
      </c>
      <c r="I24" s="8" t="s">
        <v>134</v>
      </c>
    </row>
    <row r="25" spans="1:16" x14ac:dyDescent="0.25">
      <c r="A25" s="8"/>
      <c r="B25" s="5" t="s">
        <v>4</v>
      </c>
      <c r="C25" s="6" t="s">
        <v>72</v>
      </c>
      <c r="D25" s="7" t="str">
        <f t="array" ref="D25">IFERROR(
  INDEX($C$2:$C$250,
    SMALL(
      IF($B$2:$B$250 = [1]METADATA!G$2,
         ROW($C$2:$C$250) - ROW($C$2) + 1
      ),
      ROWS($D$2:D25)
    )
  ),
"")</f>
        <v/>
      </c>
      <c r="I25" s="10" t="s">
        <v>135</v>
      </c>
    </row>
    <row r="26" spans="1:16" x14ac:dyDescent="0.25">
      <c r="A26" s="8"/>
      <c r="B26" s="5" t="s">
        <v>4</v>
      </c>
      <c r="C26" s="6" t="s">
        <v>81</v>
      </c>
      <c r="D26" s="7" t="str">
        <f t="array" ref="D26">IFERROR(
  INDEX($C$2:$C$250,
    SMALL(
      IF($B$2:$B$250 = [1]METADATA!G$2,
         ROW($C$2:$C$250) - ROW($C$2) + 1
      ),
      ROWS($D$2:D26)
    )
  ),
"")</f>
        <v/>
      </c>
      <c r="I26" s="9" t="s">
        <v>136</v>
      </c>
    </row>
    <row r="27" spans="1:16" x14ac:dyDescent="0.25">
      <c r="A27" s="8"/>
      <c r="B27" s="5" t="s">
        <v>4</v>
      </c>
      <c r="C27" s="6" t="s">
        <v>90</v>
      </c>
      <c r="D27" s="7" t="str">
        <f t="array" ref="D27">IFERROR(
  INDEX($C$2:$C$250,
    SMALL(
      IF($B$2:$B$250 = [1]METADATA!G$2,
         ROW($C$2:$C$250) - ROW($C$2) + 1
      ),
      ROWS($D$2:D27)
    )
  ),
"")</f>
        <v/>
      </c>
      <c r="I27" s="9" t="s">
        <v>137</v>
      </c>
    </row>
    <row r="28" spans="1:16" x14ac:dyDescent="0.25">
      <c r="A28" s="8"/>
      <c r="B28" s="5" t="s">
        <v>5</v>
      </c>
      <c r="C28" s="8" t="s">
        <v>91</v>
      </c>
      <c r="D28" s="7" t="str">
        <f t="array" ref="D28">IFERROR(
  INDEX($C$2:$C$250,
    SMALL(
      IF($B$2:$B$250 = [1]METADATA!G$2,
         ROW($C$2:$C$250) - ROW($C$2) + 1
      ),
      ROWS($D$2:D28)
    )
  ),
"")</f>
        <v/>
      </c>
      <c r="I28" s="8" t="s">
        <v>138</v>
      </c>
    </row>
    <row r="29" spans="1:16" x14ac:dyDescent="0.25">
      <c r="A29" s="8"/>
      <c r="B29" s="5" t="s">
        <v>5</v>
      </c>
      <c r="C29" s="8" t="s">
        <v>82</v>
      </c>
      <c r="D29" s="7" t="str">
        <f t="array" ref="D29">IFERROR(
  INDEX($C$2:$C$250,
    SMALL(
      IF($B$2:$B$250 = [1]METADATA!G$2,
         ROW($C$2:$C$250) - ROW($C$2) + 1
      ),
      ROWS($D$2:D29)
    )
  ),
"")</f>
        <v/>
      </c>
      <c r="I29" s="8" t="s">
        <v>139</v>
      </c>
    </row>
    <row r="30" spans="1:16" x14ac:dyDescent="0.25">
      <c r="A30" s="8"/>
      <c r="B30" s="5" t="s">
        <v>5</v>
      </c>
      <c r="C30" s="8" t="s">
        <v>73</v>
      </c>
      <c r="D30" s="7" t="str">
        <f t="array" ref="D30">IFERROR(
  INDEX($C$2:$C$250,
    SMALL(
      IF($B$2:$B$250 = [1]METADATA!G$2,
         ROW($C$2:$C$250) - ROW($C$2) + 1
      ),
      ROWS($D$2:D30)
    )
  ),
"")</f>
        <v/>
      </c>
      <c r="I30" s="8" t="s">
        <v>140</v>
      </c>
    </row>
    <row r="31" spans="1:16" x14ac:dyDescent="0.25">
      <c r="A31" s="8"/>
      <c r="B31" s="5" t="s">
        <v>5</v>
      </c>
      <c r="C31" s="8" t="s">
        <v>41</v>
      </c>
      <c r="D31" s="7" t="str">
        <f t="array" ref="D31">IFERROR(
  INDEX($C$2:$C$250,
    SMALL(
      IF($B$2:$B$250 = [1]METADATA!G$2,
         ROW($C$2:$C$250) - ROW($C$2) + 1
      ),
      ROWS($D$2:D31)
    )
  ),
"")</f>
        <v/>
      </c>
      <c r="I31" s="8" t="s">
        <v>141</v>
      </c>
    </row>
    <row r="32" spans="1:16" x14ac:dyDescent="0.25">
      <c r="A32" s="8"/>
      <c r="B32" s="5" t="s">
        <v>5</v>
      </c>
      <c r="C32" s="8" t="s">
        <v>20</v>
      </c>
      <c r="D32" s="7" t="str">
        <f t="array" ref="D32">IFERROR(
  INDEX($C$2:$C$250,
    SMALL(
      IF($B$2:$B$250 = [1]METADATA!G$2,
         ROW($C$2:$C$250) - ROW($C$2) + 1
      ),
      ROWS($D$2:D32)
    )
  ),
"")</f>
        <v/>
      </c>
      <c r="I32" s="10" t="s">
        <v>142</v>
      </c>
    </row>
    <row r="33" spans="1:9" x14ac:dyDescent="0.25">
      <c r="A33" s="8"/>
      <c r="B33" s="5" t="s">
        <v>5</v>
      </c>
      <c r="C33" s="8" t="s">
        <v>63</v>
      </c>
      <c r="D33" s="7" t="str">
        <f t="array" ref="D33">IFERROR(
  INDEX($C$2:$C$250,
    SMALL(
      IF($B$2:$B$250 = [1]METADATA!G$2,
         ROW($C$2:$C$250) - ROW($C$2) + 1
      ),
      ROWS($D$2:D33)
    )
  ),
"")</f>
        <v/>
      </c>
      <c r="I33" s="10" t="s">
        <v>143</v>
      </c>
    </row>
    <row r="34" spans="1:9" x14ac:dyDescent="0.25">
      <c r="A34" s="8"/>
      <c r="B34" s="5" t="s">
        <v>5</v>
      </c>
      <c r="C34" s="8" t="s">
        <v>29</v>
      </c>
      <c r="D34" s="7" t="str">
        <f t="array" ref="D34">IFERROR(
  INDEX($C$2:$C$250,
    SMALL(
      IF($B$2:$B$250 = [1]METADATA!G$2,
         ROW($C$2:$C$250) - ROW($C$2) + 1
      ),
      ROWS($D$2:D34)
    )
  ),
"")</f>
        <v/>
      </c>
      <c r="I34" s="8" t="s">
        <v>144</v>
      </c>
    </row>
    <row r="35" spans="1:9" x14ac:dyDescent="0.25">
      <c r="A35" s="8"/>
      <c r="B35" s="5" t="s">
        <v>5</v>
      </c>
      <c r="C35" s="8" t="s">
        <v>52</v>
      </c>
      <c r="D35" s="7" t="str">
        <f t="array" ref="D35">IFERROR(
  INDEX($C$2:$C$250,
    SMALL(
      IF($B$2:$B$250 = [1]METADATA!G$2,
         ROW($C$2:$C$250) - ROW($C$2) + 1
      ),
      ROWS($D$2:D35)
    )
  ),
"")</f>
        <v/>
      </c>
      <c r="I35" s="8" t="s">
        <v>145</v>
      </c>
    </row>
    <row r="36" spans="1:9" x14ac:dyDescent="0.25">
      <c r="A36" s="8"/>
      <c r="B36" s="5" t="s">
        <v>6</v>
      </c>
      <c r="C36" s="9" t="s">
        <v>21</v>
      </c>
      <c r="D36" s="7" t="str">
        <f t="array" ref="D36">IFERROR(
  INDEX($C$2:$C$250,
    SMALL(
      IF($B$2:$B$250 = [1]METADATA!G$2,
         ROW($C$2:$C$250) - ROW($C$2) + 1
      ),
      ROWS($D$2:D36)
    )
  ),
"")</f>
        <v/>
      </c>
      <c r="I36" s="9" t="s">
        <v>146</v>
      </c>
    </row>
    <row r="37" spans="1:9" x14ac:dyDescent="0.25">
      <c r="A37" s="8"/>
      <c r="B37" s="5" t="s">
        <v>6</v>
      </c>
      <c r="C37" s="10" t="s">
        <v>30</v>
      </c>
      <c r="D37" s="7" t="str">
        <f t="array" ref="D37">IFERROR(
  INDEX($C$2:$C$250,
    SMALL(
      IF($B$2:$B$250 = [1]METADATA!G$2,
         ROW($C$2:$C$250) - ROW($C$2) + 1
      ),
      ROWS($D$2:D37)
    )
  ),
"")</f>
        <v/>
      </c>
      <c r="I37" s="10" t="s">
        <v>147</v>
      </c>
    </row>
    <row r="38" spans="1:9" x14ac:dyDescent="0.25">
      <c r="A38" s="8"/>
      <c r="B38" s="5" t="s">
        <v>6</v>
      </c>
      <c r="C38" s="9" t="s">
        <v>42</v>
      </c>
      <c r="D38" s="7" t="str">
        <f t="array" ref="D38">IFERROR(
  INDEX($C$2:$C$250,
    SMALL(
      IF($B$2:$B$250 = [1]METADATA!G$2,
         ROW($C$2:$C$250) - ROW($C$2) + 1
      ),
      ROWS($D$2:D38)
    )
  ),
"")</f>
        <v/>
      </c>
      <c r="I38" s="10" t="s">
        <v>148</v>
      </c>
    </row>
    <row r="39" spans="1:9" x14ac:dyDescent="0.25">
      <c r="A39" s="8"/>
      <c r="B39" s="5" t="s">
        <v>6</v>
      </c>
      <c r="C39" s="8" t="s">
        <v>53</v>
      </c>
      <c r="D39" s="7" t="str">
        <f t="array" ref="D39">IFERROR(
  INDEX($C$2:$C$250,
    SMALL(
      IF($B$2:$B$250 = [1]METADATA!G$2,
         ROW($C$2:$C$250) - ROW($C$2) + 1
      ),
      ROWS($D$2:D39)
    )
  ),
"")</f>
        <v/>
      </c>
      <c r="I39" s="10" t="s">
        <v>149</v>
      </c>
    </row>
    <row r="40" spans="1:9" x14ac:dyDescent="0.25">
      <c r="A40" s="8"/>
      <c r="B40" s="5" t="s">
        <v>6</v>
      </c>
      <c r="C40" s="9" t="s">
        <v>64</v>
      </c>
      <c r="D40" s="7" t="str">
        <f t="array" ref="D40">IFERROR(
  INDEX($C$2:$C$250,
    SMALL(
      IF($B$2:$B$250 = [1]METADATA!G$2,
         ROW($C$2:$C$250) - ROW($C$2) + 1
      ),
      ROWS($D$2:D40)
    )
  ),
"")</f>
        <v/>
      </c>
      <c r="I40" s="9" t="s">
        <v>150</v>
      </c>
    </row>
    <row r="41" spans="1:9" x14ac:dyDescent="0.25">
      <c r="A41" s="8"/>
      <c r="B41" s="5" t="s">
        <v>6</v>
      </c>
      <c r="C41" s="10" t="s">
        <v>74</v>
      </c>
      <c r="D41" s="7" t="str">
        <f t="array" ref="D41">IFERROR(
  INDEX($C$2:$C$250,
    SMALL(
      IF($B$2:$B$250 = [1]METADATA!G$2,
         ROW($C$2:$C$250) - ROW($C$2) + 1
      ),
      ROWS($D$2:D41)
    )
  ),
"")</f>
        <v/>
      </c>
      <c r="I41" s="8" t="s">
        <v>151</v>
      </c>
    </row>
    <row r="42" spans="1:9" x14ac:dyDescent="0.25">
      <c r="A42" s="8"/>
      <c r="B42" s="5" t="s">
        <v>6</v>
      </c>
      <c r="C42" s="10" t="s">
        <v>83</v>
      </c>
      <c r="D42" s="7" t="str">
        <f t="array" ref="D42">IFERROR(
  INDEX($C$2:$C$250,
    SMALL(
      IF($B$2:$B$250 = [1]METADATA!G$2,
         ROW($C$2:$C$250) - ROW($C$2) + 1
      ),
      ROWS($D$2:D42)
    )
  ),
"")</f>
        <v/>
      </c>
      <c r="I42" s="9" t="s">
        <v>152</v>
      </c>
    </row>
    <row r="43" spans="1:9" x14ac:dyDescent="0.25">
      <c r="A43" s="8"/>
      <c r="B43" s="5" t="s">
        <v>6</v>
      </c>
      <c r="C43" s="8" t="s">
        <v>92</v>
      </c>
      <c r="D43" s="7" t="str">
        <f t="array" ref="D43">IFERROR(
  INDEX($C$2:$C$250,
    SMALL(
      IF($B$2:$B$250 = [1]METADATA!G$2,
         ROW($C$2:$C$250) - ROW($C$2) + 1
      ),
      ROWS($D$2:D43)
    )
  ),
"")</f>
        <v/>
      </c>
      <c r="I43" s="8" t="s">
        <v>153</v>
      </c>
    </row>
    <row r="44" spans="1:9" x14ac:dyDescent="0.25">
      <c r="A44" s="8"/>
      <c r="B44" s="5" t="s">
        <v>6</v>
      </c>
      <c r="C44" s="9" t="s">
        <v>97</v>
      </c>
      <c r="D44" s="7" t="str">
        <f t="array" ref="D44">IFERROR(
  INDEX($C$2:$C$250,
    SMALL(
      IF($B$2:$B$250 = [1]METADATA!G$2,
         ROW($C$2:$C$250) - ROW($C$2) + 1
      ),
      ROWS($D$2:D44)
    )
  ),
"")</f>
        <v/>
      </c>
      <c r="I44" s="9" t="s">
        <v>154</v>
      </c>
    </row>
    <row r="45" spans="1:9" x14ac:dyDescent="0.25">
      <c r="A45" s="8"/>
      <c r="B45" s="5" t="s">
        <v>6</v>
      </c>
      <c r="C45" s="10" t="s">
        <v>102</v>
      </c>
      <c r="D45" s="7" t="str">
        <f t="array" ref="D45">IFERROR(
  INDEX($C$2:$C$250,
    SMALL(
      IF($B$2:$B$250 = [1]METADATA!G$2,
         ROW($C$2:$C$250) - ROW($C$2) + 1
      ),
      ROWS($D$2:D45)
    )
  ),
"")</f>
        <v/>
      </c>
      <c r="I45" s="9" t="s">
        <v>155</v>
      </c>
    </row>
    <row r="46" spans="1:9" x14ac:dyDescent="0.25">
      <c r="B46" s="5" t="s">
        <v>6</v>
      </c>
      <c r="C46" s="8" t="s">
        <v>106</v>
      </c>
      <c r="D46" s="7" t="str">
        <f t="array" ref="D46">IFERROR(
  INDEX($C$2:$C$250,
    SMALL(
      IF($B$2:$B$250 = [1]METADATA!G$2,
         ROW($C$2:$C$250) - ROW($C$2) + 1
      ),
      ROWS($D$2:D46)
    )
  ),
"")</f>
        <v/>
      </c>
      <c r="I46" s="8" t="s">
        <v>156</v>
      </c>
    </row>
    <row r="47" spans="1:9" x14ac:dyDescent="0.25">
      <c r="B47" s="5" t="s">
        <v>6</v>
      </c>
      <c r="C47" s="9" t="s">
        <v>110</v>
      </c>
      <c r="D47" s="7" t="str">
        <f t="array" ref="D47">IFERROR(
  INDEX($C$2:$C$250,
    SMALL(
      IF($B$2:$B$250 = [1]METADATA!G$2,
         ROW($C$2:$C$250) - ROW($C$2) + 1
      ),
      ROWS($D$2:D47)
    )
  ),
"")</f>
        <v/>
      </c>
      <c r="I47" s="9" t="s">
        <v>157</v>
      </c>
    </row>
    <row r="48" spans="1:9" x14ac:dyDescent="0.25">
      <c r="B48" s="5" t="s">
        <v>6</v>
      </c>
      <c r="C48" s="9" t="s">
        <v>113</v>
      </c>
      <c r="D48" s="7" t="str">
        <f t="array" ref="D48">IFERROR(
  INDEX($C$2:$C$250,
    SMALL(
      IF($B$2:$B$250 = [1]METADATA!G$2,
         ROW($C$2:$C$250) - ROW($C$2) + 1
      ),
      ROWS($D$2:D48)
    )
  ),
"")</f>
        <v/>
      </c>
      <c r="I48" s="8" t="s">
        <v>158</v>
      </c>
    </row>
    <row r="49" spans="2:9" x14ac:dyDescent="0.25">
      <c r="B49" s="5" t="s">
        <v>6</v>
      </c>
      <c r="C49" s="9" t="s">
        <v>115</v>
      </c>
      <c r="D49" s="7" t="str">
        <f t="array" ref="D49">IFERROR(
  INDEX($C$2:$C$250,
    SMALL(
      IF($B$2:$B$250 = [1]METADATA!G$2,
         ROW($C$2:$C$250) - ROW($C$2) + 1
      ),
      ROWS($D$2:D49)
    )
  ),
"")</f>
        <v/>
      </c>
      <c r="I49" s="8" t="s">
        <v>159</v>
      </c>
    </row>
    <row r="50" spans="2:9" x14ac:dyDescent="0.25">
      <c r="B50" s="5" t="s">
        <v>6</v>
      </c>
      <c r="C50" s="9" t="s">
        <v>118</v>
      </c>
      <c r="D50" s="7" t="str">
        <f t="array" ref="D50">IFERROR(
  INDEX($C$2:$C$250,
    SMALL(
      IF($B$2:$B$250 = [1]METADATA!G$2,
         ROW($C$2:$C$250) - ROW($C$2) + 1
      ),
      ROWS($D$2:D50)
    )
  ),
"")</f>
        <v/>
      </c>
      <c r="I50" s="10" t="s">
        <v>160</v>
      </c>
    </row>
    <row r="51" spans="2:9" x14ac:dyDescent="0.25">
      <c r="B51" s="5" t="s">
        <v>6</v>
      </c>
      <c r="C51" s="9" t="s">
        <v>121</v>
      </c>
      <c r="D51" s="7" t="str">
        <f t="array" ref="D51">IFERROR(
  INDEX($C$2:$C$250,
    SMALL(
      IF($B$2:$B$250 = [1]METADATA!G$2,
         ROW($C$2:$C$250) - ROW($C$2) + 1
      ),
      ROWS($D$2:D51)
    )
  ),
"")</f>
        <v/>
      </c>
      <c r="I51" s="8" t="s">
        <v>161</v>
      </c>
    </row>
    <row r="52" spans="2:9" x14ac:dyDescent="0.25">
      <c r="B52" s="5" t="s">
        <v>6</v>
      </c>
      <c r="C52" s="9" t="s">
        <v>124</v>
      </c>
      <c r="D52" s="7" t="str">
        <f t="array" ref="D52">IFERROR(
  INDEX($C$2:$C$250,
    SMALL(
      IF($B$2:$B$250 = [1]METADATA!G$2,
         ROW($C$2:$C$250) - ROW($C$2) + 1
      ),
      ROWS($D$2:D52)
    )
  ),
"")</f>
        <v/>
      </c>
      <c r="I52" s="9" t="s">
        <v>162</v>
      </c>
    </row>
    <row r="53" spans="2:9" x14ac:dyDescent="0.25">
      <c r="B53" s="5" t="s">
        <v>6</v>
      </c>
      <c r="C53" s="9" t="s">
        <v>127</v>
      </c>
      <c r="D53" s="7" t="str">
        <f t="array" ref="D53">IFERROR(
  INDEX($C$2:$C$250,
    SMALL(
      IF($B$2:$B$250 = [1]METADATA!G$2,
         ROW($C$2:$C$250) - ROW($C$2) + 1
      ),
      ROWS($D$2:D53)
    )
  ),
"")</f>
        <v/>
      </c>
      <c r="I53" s="8" t="s">
        <v>163</v>
      </c>
    </row>
    <row r="54" spans="2:9" x14ac:dyDescent="0.25">
      <c r="B54" s="5" t="s">
        <v>6</v>
      </c>
      <c r="C54" s="8" t="s">
        <v>130</v>
      </c>
      <c r="D54" s="7" t="str">
        <f t="array" ref="D54">IFERROR(
  INDEX($C$2:$C$250,
    SMALL(
      IF($B$2:$B$250 = [1]METADATA!G$2,
         ROW($C$2:$C$250) - ROW($C$2) + 1
      ),
      ROWS($D$2:D54)
    )
  ),
"")</f>
        <v/>
      </c>
      <c r="I54" s="9" t="s">
        <v>164</v>
      </c>
    </row>
    <row r="55" spans="2:9" x14ac:dyDescent="0.25">
      <c r="B55" s="5" t="s">
        <v>6</v>
      </c>
      <c r="C55" s="9" t="s">
        <v>131</v>
      </c>
      <c r="D55" s="7" t="str">
        <f t="array" ref="D55">IFERROR(
  INDEX($C$2:$C$250,
    SMALL(
      IF($B$2:$B$250 = [1]METADATA!G$2,
         ROW($C$2:$C$250) - ROW($C$2) + 1
      ),
      ROWS($D$2:D55)
    )
  ),
"")</f>
        <v/>
      </c>
      <c r="I55" s="8" t="s">
        <v>165</v>
      </c>
    </row>
    <row r="56" spans="2:9" x14ac:dyDescent="0.25">
      <c r="B56" s="5" t="s">
        <v>6</v>
      </c>
      <c r="C56" s="8" t="s">
        <v>132</v>
      </c>
      <c r="D56" s="7" t="str">
        <f t="array" ref="D56">IFERROR(
  INDEX($C$2:$C$250,
    SMALL(
      IF($B$2:$B$250 = [1]METADATA!G$2,
         ROW($C$2:$C$250) - ROW($C$2) + 1
      ),
      ROWS($D$2:D56)
    )
  ),
"")</f>
        <v/>
      </c>
      <c r="I56" s="8" t="s">
        <v>166</v>
      </c>
    </row>
    <row r="57" spans="2:9" x14ac:dyDescent="0.25">
      <c r="B57" s="5" t="s">
        <v>6</v>
      </c>
      <c r="C57" s="8" t="s">
        <v>133</v>
      </c>
      <c r="D57" s="7" t="str">
        <f t="array" ref="D57">IFERROR(
  INDEX($C$2:$C$250,
    SMALL(
      IF($B$2:$B$250 = [1]METADATA!G$2,
         ROW($C$2:$C$250) - ROW($C$2) + 1
      ),
      ROWS($D$2:D57)
    )
  ),
"")</f>
        <v/>
      </c>
      <c r="I57" s="8" t="s">
        <v>167</v>
      </c>
    </row>
    <row r="58" spans="2:9" x14ac:dyDescent="0.25">
      <c r="B58" s="5" t="s">
        <v>6</v>
      </c>
      <c r="C58" s="8" t="s">
        <v>134</v>
      </c>
      <c r="D58" s="7" t="str">
        <f t="array" ref="D58">IFERROR(
  INDEX($C$2:$C$250,
    SMALL(
      IF($B$2:$B$250 = [1]METADATA!G$2,
         ROW($C$2:$C$250) - ROW($C$2) + 1
      ),
      ROWS($D$2:D58)
    )
  ),
"")</f>
        <v/>
      </c>
      <c r="I58" s="9" t="s">
        <v>168</v>
      </c>
    </row>
    <row r="59" spans="2:9" x14ac:dyDescent="0.25">
      <c r="B59" s="5" t="s">
        <v>6</v>
      </c>
      <c r="C59" s="10" t="s">
        <v>135</v>
      </c>
      <c r="D59" s="7" t="str">
        <f t="array" ref="D59">IFERROR(
  INDEX($C$2:$C$250,
    SMALL(
      IF($B$2:$B$250 = [1]METADATA!G$2,
         ROW($C$2:$C$250) - ROW($C$2) + 1
      ),
      ROWS($D$2:D59)
    )
  ),
"")</f>
        <v/>
      </c>
      <c r="I59" s="9" t="s">
        <v>169</v>
      </c>
    </row>
    <row r="60" spans="2:9" x14ac:dyDescent="0.25">
      <c r="B60" s="5" t="s">
        <v>6</v>
      </c>
      <c r="C60" s="9" t="s">
        <v>136</v>
      </c>
      <c r="D60" s="7" t="str">
        <f t="array" ref="D60">IFERROR(
  INDEX($C$2:$C$250,
    SMALL(
      IF($B$2:$B$250 = [1]METADATA!G$2,
         ROW($C$2:$C$250) - ROW($C$2) + 1
      ),
      ROWS($D$2:D60)
    )
  ),
"")</f>
        <v/>
      </c>
      <c r="I60" s="8" t="s">
        <v>170</v>
      </c>
    </row>
    <row r="61" spans="2:9" x14ac:dyDescent="0.25">
      <c r="B61" s="5" t="s">
        <v>6</v>
      </c>
      <c r="C61" s="9" t="s">
        <v>137</v>
      </c>
      <c r="D61" s="7" t="str">
        <f t="array" ref="D61">IFERROR(
  INDEX($C$2:$C$250,
    SMALL(
      IF($B$2:$B$250 = [1]METADATA!G$2,
         ROW($C$2:$C$250) - ROW($C$2) + 1
      ),
      ROWS($D$2:D61)
    )
  ),
"")</f>
        <v/>
      </c>
      <c r="I61" s="8" t="s">
        <v>171</v>
      </c>
    </row>
    <row r="62" spans="2:9" x14ac:dyDescent="0.25">
      <c r="B62" s="5" t="s">
        <v>6</v>
      </c>
      <c r="C62" s="8" t="s">
        <v>138</v>
      </c>
      <c r="D62" s="7" t="str">
        <f t="array" ref="D62">IFERROR(
  INDEX($C$2:$C$250,
    SMALL(
      IF($B$2:$B$250 = [1]METADATA!G$2,
         ROW($C$2:$C$250) - ROW($C$2) + 1
      ),
      ROWS($D$2:D62)
    )
  ),
"")</f>
        <v/>
      </c>
      <c r="I62" s="9" t="s">
        <v>172</v>
      </c>
    </row>
    <row r="63" spans="2:9" x14ac:dyDescent="0.25">
      <c r="B63" s="5" t="s">
        <v>6</v>
      </c>
      <c r="C63" s="8" t="s">
        <v>139</v>
      </c>
      <c r="D63" s="7" t="str">
        <f t="array" ref="D63">IFERROR(
  INDEX($C$2:$C$250,
    SMALL(
      IF($B$2:$B$250 = [1]METADATA!G$2,
         ROW($C$2:$C$250) - ROW($C$2) + 1
      ),
      ROWS($D$2:D63)
    )
  ),
"")</f>
        <v/>
      </c>
      <c r="I63" s="8" t="s">
        <v>173</v>
      </c>
    </row>
    <row r="64" spans="2:9" x14ac:dyDescent="0.25">
      <c r="B64" s="5" t="s">
        <v>6</v>
      </c>
      <c r="C64" s="8" t="s">
        <v>140</v>
      </c>
      <c r="D64" s="7" t="str">
        <f t="array" ref="D64">IFERROR(
  INDEX($C$2:$C$250,
    SMALL(
      IF($B$2:$B$250 = [1]METADATA!G$2,
         ROW($C$2:$C$250) - ROW($C$2) + 1
      ),
      ROWS($D$2:D64)
    )
  ),
"")</f>
        <v/>
      </c>
      <c r="I64" s="8" t="s">
        <v>174</v>
      </c>
    </row>
    <row r="65" spans="2:9" x14ac:dyDescent="0.25">
      <c r="B65" s="5" t="s">
        <v>6</v>
      </c>
      <c r="C65" s="8" t="s">
        <v>141</v>
      </c>
      <c r="D65" s="7" t="str">
        <f t="array" ref="D65">IFERROR(
  INDEX($C$2:$C$250,
    SMALL(
      IF($B$2:$B$250 = [1]METADATA!G$2,
         ROW($C$2:$C$250) - ROW($C$2) + 1
      ),
      ROWS($D$2:D65)
    )
  ),
"")</f>
        <v/>
      </c>
      <c r="I65" s="8" t="s">
        <v>175</v>
      </c>
    </row>
    <row r="66" spans="2:9" x14ac:dyDescent="0.25">
      <c r="B66" s="5" t="s">
        <v>6</v>
      </c>
      <c r="C66" s="10" t="s">
        <v>142</v>
      </c>
      <c r="D66" s="7" t="str">
        <f t="array" ref="D66">IFERROR(
  INDEX($C$2:$C$250,
    SMALL(
      IF($B$2:$B$250 = [1]METADATA!G$2,
         ROW($C$2:$C$250) - ROW($C$2) + 1
      ),
      ROWS($D$2:D66)
    )
  ),
"")</f>
        <v/>
      </c>
      <c r="I66" s="8" t="s">
        <v>176</v>
      </c>
    </row>
    <row r="67" spans="2:9" x14ac:dyDescent="0.25">
      <c r="B67" s="5" t="s">
        <v>6</v>
      </c>
      <c r="C67" s="10" t="s">
        <v>143</v>
      </c>
      <c r="D67" s="7" t="str">
        <f t="array" ref="D67">IFERROR(
  INDEX($C$2:$C$250,
    SMALL(
      IF($B$2:$B$250 = [1]METADATA!G$2,
         ROW($C$2:$C$250) - ROW($C$2) + 1
      ),
      ROWS($D$2:D67)
    )
  ),
"")</f>
        <v/>
      </c>
      <c r="I67" s="10" t="s">
        <v>177</v>
      </c>
    </row>
    <row r="68" spans="2:9" x14ac:dyDescent="0.25">
      <c r="B68" s="5" t="s">
        <v>6</v>
      </c>
      <c r="C68" s="8" t="s">
        <v>144</v>
      </c>
      <c r="D68" s="7" t="str">
        <f t="array" ref="D68">IFERROR(
  INDEX($C$2:$C$250,
    SMALL(
      IF($B$2:$B$250 = [1]METADATA!G$2,
         ROW($C$2:$C$250) - ROW($C$2) + 1
      ),
      ROWS($D$2:D68)
    )
  ),
"")</f>
        <v/>
      </c>
      <c r="I68" s="10" t="s">
        <v>178</v>
      </c>
    </row>
    <row r="69" spans="2:9" x14ac:dyDescent="0.25">
      <c r="B69" s="5" t="s">
        <v>6</v>
      </c>
      <c r="C69" s="8" t="s">
        <v>145</v>
      </c>
      <c r="D69" s="7" t="str">
        <f t="array" ref="D69">IFERROR(
  INDEX($C$2:$C$250,
    SMALL(
      IF($B$2:$B$250 = [1]METADATA!G$2,
         ROW($C$2:$C$250) - ROW($C$2) + 1
      ),
      ROWS($D$2:D69)
    )
  ),
"")</f>
        <v/>
      </c>
      <c r="I69" s="9" t="s">
        <v>179</v>
      </c>
    </row>
    <row r="70" spans="2:9" x14ac:dyDescent="0.25">
      <c r="B70" s="5" t="s">
        <v>6</v>
      </c>
      <c r="C70" s="9" t="s">
        <v>146</v>
      </c>
      <c r="D70" s="7" t="str">
        <f t="array" ref="D70">IFERROR(
  INDEX($C$2:$C$250,
    SMALL(
      IF($B$2:$B$250 = [1]METADATA!G$2,
         ROW($C$2:$C$250) - ROW($C$2) + 1
      ),
      ROWS($D$2:D70)
    )
  ),
"")</f>
        <v/>
      </c>
      <c r="I70" s="10" t="s">
        <v>180</v>
      </c>
    </row>
    <row r="71" spans="2:9" x14ac:dyDescent="0.25">
      <c r="B71" s="5" t="s">
        <v>6</v>
      </c>
      <c r="C71" s="10" t="s">
        <v>147</v>
      </c>
      <c r="D71" s="7" t="str">
        <f t="array" ref="D71">IFERROR(
  INDEX($C$2:$C$250,
    SMALL(
      IF($B$2:$B$250 = [1]METADATA!G$2,
         ROW($C$2:$C$250) - ROW($C$2) + 1
      ),
      ROWS($D$2:D71)
    )
  ),
"")</f>
        <v/>
      </c>
      <c r="I71" s="10" t="s">
        <v>181</v>
      </c>
    </row>
    <row r="72" spans="2:9" x14ac:dyDescent="0.25">
      <c r="B72" s="5" t="s">
        <v>6</v>
      </c>
      <c r="C72" s="10" t="s">
        <v>148</v>
      </c>
      <c r="D72" s="7" t="str">
        <f t="array" ref="D72">IFERROR(
  INDEX($C$2:$C$250,
    SMALL(
      IF($B$2:$B$250 = [1]METADATA!G$2,
         ROW($C$2:$C$250) - ROW($C$2) + 1
      ),
      ROWS($D$2:D72)
    )
  ),
"")</f>
        <v/>
      </c>
      <c r="I72" s="9" t="s">
        <v>182</v>
      </c>
    </row>
    <row r="73" spans="2:9" x14ac:dyDescent="0.25">
      <c r="B73" s="5" t="s">
        <v>6</v>
      </c>
      <c r="C73" s="10" t="s">
        <v>149</v>
      </c>
      <c r="D73" s="7" t="str">
        <f t="array" ref="D73">IFERROR(
  INDEX($C$2:$C$250,
    SMALL(
      IF($B$2:$B$250 = [1]METADATA!G$2,
         ROW($C$2:$C$250) - ROW($C$2) + 1
      ),
      ROWS($D$2:D73)
    )
  ),
"")</f>
        <v/>
      </c>
      <c r="I73" s="10" t="s">
        <v>183</v>
      </c>
    </row>
    <row r="74" spans="2:9" x14ac:dyDescent="0.25">
      <c r="B74" s="5" t="s">
        <v>6</v>
      </c>
      <c r="C74" s="9" t="s">
        <v>150</v>
      </c>
      <c r="D74" s="7" t="str">
        <f t="array" ref="D74">IFERROR(
  INDEX($C$2:$C$250,
    SMALL(
      IF($B$2:$B$250 = [1]METADATA!G$2,
         ROW($C$2:$C$250) - ROW($C$2) + 1
      ),
      ROWS($D$2:D74)
    )
  ),
"")</f>
        <v/>
      </c>
      <c r="I74" s="9" t="s">
        <v>184</v>
      </c>
    </row>
    <row r="75" spans="2:9" x14ac:dyDescent="0.25">
      <c r="B75" s="5" t="s">
        <v>6</v>
      </c>
      <c r="C75" s="8" t="s">
        <v>151</v>
      </c>
      <c r="D75" s="7" t="str">
        <f t="array" ref="D75">IFERROR(
  INDEX($C$2:$C$250,
    SMALL(
      IF($B$2:$B$250 = [1]METADATA!G$2,
         ROW($C$2:$C$250) - ROW($C$2) + 1
      ),
      ROWS($D$2:D75)
    )
  ),
"")</f>
        <v/>
      </c>
      <c r="I75" s="8" t="s">
        <v>185</v>
      </c>
    </row>
    <row r="76" spans="2:9" x14ac:dyDescent="0.25">
      <c r="B76" s="5" t="s">
        <v>6</v>
      </c>
      <c r="C76" s="9" t="s">
        <v>152</v>
      </c>
      <c r="D76" s="7" t="str">
        <f t="array" ref="D76">IFERROR(
  INDEX($C$2:$C$250,
    SMALL(
      IF($B$2:$B$250 = [1]METADATA!G$2,
         ROW($C$2:$C$250) - ROW($C$2) + 1
      ),
      ROWS($D$2:D76)
    )
  ),
"")</f>
        <v/>
      </c>
      <c r="I76" s="10" t="s">
        <v>186</v>
      </c>
    </row>
    <row r="77" spans="2:9" x14ac:dyDescent="0.25">
      <c r="B77" s="5" t="s">
        <v>6</v>
      </c>
      <c r="C77" s="8" t="s">
        <v>153</v>
      </c>
      <c r="D77" s="7" t="str">
        <f t="array" ref="D77">IFERROR(
  INDEX($C$2:$C$250,
    SMALL(
      IF($B$2:$B$250 = [1]METADATA!G$2,
         ROW($C$2:$C$250) - ROW($C$2) + 1
      ),
      ROWS($D$2:D77)
    )
  ),
"")</f>
        <v/>
      </c>
      <c r="I77" s="9" t="s">
        <v>187</v>
      </c>
    </row>
    <row r="78" spans="2:9" x14ac:dyDescent="0.25">
      <c r="B78" s="5" t="s">
        <v>6</v>
      </c>
      <c r="C78" s="9" t="s">
        <v>154</v>
      </c>
      <c r="D78" s="7" t="str">
        <f t="array" ref="D78">IFERROR(
  INDEX($C$2:$C$250,
    SMALL(
      IF($B$2:$B$250 = [1]METADATA!G$2,
         ROW($C$2:$C$250) - ROW($C$2) + 1
      ),
      ROWS($D$2:D78)
    )
  ),
"")</f>
        <v/>
      </c>
      <c r="I78" s="8" t="s">
        <v>188</v>
      </c>
    </row>
    <row r="79" spans="2:9" x14ac:dyDescent="0.25">
      <c r="B79" s="5" t="s">
        <v>6</v>
      </c>
      <c r="C79" s="9" t="s">
        <v>155</v>
      </c>
      <c r="D79" s="7" t="str">
        <f t="array" ref="D79">IFERROR(
  INDEX($C$2:$C$250,
    SMALL(
      IF($B$2:$B$250 = [1]METADATA!G$2,
         ROW($C$2:$C$250) - ROW($C$2) + 1
      ),
      ROWS($D$2:D79)
    )
  ),
"")</f>
        <v/>
      </c>
      <c r="I79" s="8" t="s">
        <v>189</v>
      </c>
    </row>
    <row r="80" spans="2:9" x14ac:dyDescent="0.25">
      <c r="B80" s="5" t="s">
        <v>6</v>
      </c>
      <c r="C80" s="8" t="s">
        <v>156</v>
      </c>
      <c r="D80" s="7" t="str">
        <f t="array" ref="D80">IFERROR(
  INDEX($C$2:$C$250,
    SMALL(
      IF($B$2:$B$250 = [1]METADATA!G$2,
         ROW($C$2:$C$250) - ROW($C$2) + 1
      ),
      ROWS($D$2:D80)
    )
  ),
"")</f>
        <v/>
      </c>
      <c r="I80" s="9" t="s">
        <v>190</v>
      </c>
    </row>
    <row r="81" spans="2:9" x14ac:dyDescent="0.25">
      <c r="B81" s="5" t="s">
        <v>6</v>
      </c>
      <c r="C81" s="9" t="s">
        <v>157</v>
      </c>
      <c r="D81" s="7" t="str">
        <f t="array" ref="D81">IFERROR(
  INDEX($C$2:$C$250,
    SMALL(
      IF($B$2:$B$250 = [1]METADATA!G$2,
         ROW($C$2:$C$250) - ROW($C$2) + 1
      ),
      ROWS($D$2:D81)
    )
  ),
"")</f>
        <v/>
      </c>
      <c r="I81" s="9" t="s">
        <v>191</v>
      </c>
    </row>
    <row r="82" spans="2:9" x14ac:dyDescent="0.25">
      <c r="B82" s="5" t="s">
        <v>6</v>
      </c>
      <c r="C82" s="8" t="s">
        <v>158</v>
      </c>
      <c r="D82" s="7" t="str">
        <f t="array" ref="D82">IFERROR(
  INDEX($C$2:$C$250,
    SMALL(
      IF($B$2:$B$250 = [1]METADATA!G$2,
         ROW($C$2:$C$250) - ROW($C$2) + 1
      ),
      ROWS($D$2:D82)
    )
  ),
"")</f>
        <v/>
      </c>
      <c r="I82" s="9" t="s">
        <v>192</v>
      </c>
    </row>
    <row r="83" spans="2:9" x14ac:dyDescent="0.25">
      <c r="B83" s="5" t="s">
        <v>6</v>
      </c>
      <c r="C83" s="8" t="s">
        <v>159</v>
      </c>
      <c r="D83" s="7" t="str">
        <f t="array" ref="D83">IFERROR(
  INDEX($C$2:$C$250,
    SMALL(
      IF($B$2:$B$250 = [1]METADATA!G$2,
         ROW($C$2:$C$250) - ROW($C$2) + 1
      ),
      ROWS($D$2:D83)
    )
  ),
"")</f>
        <v/>
      </c>
      <c r="I83" s="8" t="s">
        <v>193</v>
      </c>
    </row>
    <row r="84" spans="2:9" x14ac:dyDescent="0.25">
      <c r="B84" s="5" t="s">
        <v>6</v>
      </c>
      <c r="C84" s="10" t="s">
        <v>160</v>
      </c>
      <c r="D84" s="7" t="str">
        <f t="array" ref="D84">IFERROR(
  INDEX($C$2:$C$250,
    SMALL(
      IF($B$2:$B$250 = [1]METADATA!G$2,
         ROW($C$2:$C$250) - ROW($C$2) + 1
      ),
      ROWS($D$2:D84)
    )
  ),
"")</f>
        <v/>
      </c>
      <c r="I84" s="8" t="s">
        <v>194</v>
      </c>
    </row>
    <row r="85" spans="2:9" x14ac:dyDescent="0.25">
      <c r="B85" s="5" t="s">
        <v>6</v>
      </c>
      <c r="C85" s="8" t="s">
        <v>161</v>
      </c>
      <c r="D85" s="7" t="str">
        <f t="array" ref="D85">IFERROR(
  INDEX($C$2:$C$250,
    SMALL(
      IF($B$2:$B$250 = [1]METADATA!G$2,
         ROW($C$2:$C$250) - ROW($C$2) + 1
      ),
      ROWS($D$2:D85)
    )
  ),
"")</f>
        <v/>
      </c>
      <c r="I85" s="10" t="s">
        <v>195</v>
      </c>
    </row>
    <row r="86" spans="2:9" x14ac:dyDescent="0.25">
      <c r="B86" s="5" t="s">
        <v>6</v>
      </c>
      <c r="C86" s="9" t="s">
        <v>162</v>
      </c>
      <c r="D86" s="7" t="str">
        <f t="array" ref="D86">IFERROR(
  INDEX($C$2:$C$250,
    SMALL(
      IF($B$2:$B$250 = [1]METADATA!G$2,
         ROW($C$2:$C$250) - ROW($C$2) + 1
      ),
      ROWS($D$2:D86)
    )
  ),
"")</f>
        <v/>
      </c>
      <c r="I86" s="10" t="s">
        <v>196</v>
      </c>
    </row>
    <row r="87" spans="2:9" x14ac:dyDescent="0.25">
      <c r="B87" s="5" t="s">
        <v>6</v>
      </c>
      <c r="C87" s="8" t="s">
        <v>163</v>
      </c>
      <c r="D87" s="7" t="str">
        <f t="array" ref="D87">IFERROR(
  INDEX($C$2:$C$250,
    SMALL(
      IF($B$2:$B$250 = [1]METADATA!G$2,
         ROW($C$2:$C$250) - ROW($C$2) + 1
      ),
      ROWS($D$2:D87)
    )
  ),
"")</f>
        <v/>
      </c>
      <c r="I87" s="10" t="s">
        <v>197</v>
      </c>
    </row>
    <row r="88" spans="2:9" x14ac:dyDescent="0.25">
      <c r="B88" s="5" t="s">
        <v>6</v>
      </c>
      <c r="C88" s="9" t="s">
        <v>164</v>
      </c>
      <c r="D88" s="7" t="str">
        <f t="array" ref="D88">IFERROR(
  INDEX($C$2:$C$250,
    SMALL(
      IF($B$2:$B$250 = [1]METADATA!G$2,
         ROW($C$2:$C$250) - ROW($C$2) + 1
      ),
      ROWS($D$2:D88)
    )
  ),
"")</f>
        <v/>
      </c>
      <c r="I88" s="9" t="s">
        <v>198</v>
      </c>
    </row>
    <row r="89" spans="2:9" x14ac:dyDescent="0.25">
      <c r="B89" s="5" t="s">
        <v>6</v>
      </c>
      <c r="C89" s="8" t="s">
        <v>165</v>
      </c>
      <c r="D89" s="7" t="str">
        <f t="array" ref="D89">IFERROR(
  INDEX($C$2:$C$250,
    SMALL(
      IF($B$2:$B$250 = [1]METADATA!G$2,
         ROW($C$2:$C$250) - ROW($C$2) + 1
      ),
      ROWS($D$2:D89)
    )
  ),
"")</f>
        <v/>
      </c>
      <c r="I89" s="9" t="s">
        <v>199</v>
      </c>
    </row>
    <row r="90" spans="2:9" x14ac:dyDescent="0.25">
      <c r="B90" s="5" t="s">
        <v>6</v>
      </c>
      <c r="C90" s="8" t="s">
        <v>166</v>
      </c>
      <c r="D90" s="7" t="str">
        <f t="array" ref="D90">IFERROR(
  INDEX($C$2:$C$250,
    SMALL(
      IF($B$2:$B$250 = [1]METADATA!G$2,
         ROW($C$2:$C$250) - ROW($C$2) + 1
      ),
      ROWS($D$2:D90)
    )
  ),
"")</f>
        <v/>
      </c>
      <c r="I90" s="9" t="s">
        <v>200</v>
      </c>
    </row>
    <row r="91" spans="2:9" x14ac:dyDescent="0.25">
      <c r="B91" s="5" t="s">
        <v>6</v>
      </c>
      <c r="C91" s="8" t="s">
        <v>167</v>
      </c>
      <c r="D91" s="7" t="str">
        <f t="array" ref="D91">IFERROR(
  INDEX($C$2:$C$250,
    SMALL(
      IF($B$2:$B$250 = [1]METADATA!G$2,
         ROW($C$2:$C$250) - ROW($C$2) + 1
      ),
      ROWS($D$2:D91)
    )
  ),
"")</f>
        <v/>
      </c>
      <c r="I91" s="9" t="s">
        <v>201</v>
      </c>
    </row>
    <row r="92" spans="2:9" x14ac:dyDescent="0.25">
      <c r="B92" s="5" t="s">
        <v>6</v>
      </c>
      <c r="C92" s="9" t="s">
        <v>168</v>
      </c>
      <c r="D92" s="7" t="str">
        <f t="array" ref="D92">IFERROR(
  INDEX($C$2:$C$250,
    SMALL(
      IF($B$2:$B$250 = [1]METADATA!G$2,
         ROW($C$2:$C$250) - ROW($C$2) + 1
      ),
      ROWS($D$2:D92)
    )
  ),
"")</f>
        <v/>
      </c>
      <c r="I92" s="9" t="s">
        <v>202</v>
      </c>
    </row>
    <row r="93" spans="2:9" x14ac:dyDescent="0.25">
      <c r="B93" s="5" t="s">
        <v>6</v>
      </c>
      <c r="C93" s="9" t="s">
        <v>169</v>
      </c>
      <c r="D93" s="7" t="str">
        <f t="array" ref="D93">IFERROR(
  INDEX($C$2:$C$250,
    SMALL(
      IF($B$2:$B$250 = [1]METADATA!G$2,
         ROW($C$2:$C$250) - ROW($C$2) + 1
      ),
      ROWS($D$2:D93)
    )
  ),
"")</f>
        <v/>
      </c>
      <c r="I93" s="9" t="s">
        <v>203</v>
      </c>
    </row>
    <row r="94" spans="2:9" x14ac:dyDescent="0.25">
      <c r="B94" s="5" t="s">
        <v>6</v>
      </c>
      <c r="C94" s="8" t="s">
        <v>170</v>
      </c>
      <c r="D94" s="7" t="str">
        <f t="array" ref="D94">IFERROR(
  INDEX($C$2:$C$250,
    SMALL(
      IF($B$2:$B$250 = [1]METADATA!G$2,
         ROW($C$2:$C$250) - ROW($C$2) + 1
      ),
      ROWS($D$2:D94)
    )
  ),
"")</f>
        <v/>
      </c>
      <c r="I94" s="10" t="s">
        <v>204</v>
      </c>
    </row>
    <row r="95" spans="2:9" x14ac:dyDescent="0.25">
      <c r="B95" s="5" t="s">
        <v>6</v>
      </c>
      <c r="C95" s="8" t="s">
        <v>171</v>
      </c>
      <c r="D95" s="7" t="str">
        <f t="array" ref="D95">IFERROR(
  INDEX($C$2:$C$250,
    SMALL(
      IF($B$2:$B$250 = [1]METADATA!G$2,
         ROW($C$2:$C$250) - ROW($C$2) + 1
      ),
      ROWS($D$2:D95)
    )
  ),
"")</f>
        <v/>
      </c>
      <c r="I95" s="9" t="s">
        <v>205</v>
      </c>
    </row>
    <row r="96" spans="2:9" x14ac:dyDescent="0.25">
      <c r="B96" s="5" t="s">
        <v>6</v>
      </c>
      <c r="C96" s="9" t="s">
        <v>172</v>
      </c>
      <c r="D96" s="7" t="str">
        <f t="array" ref="D96">IFERROR(
  INDEX($C$2:$C$250,
    SMALL(
      IF($B$2:$B$250 = [1]METADATA!G$2,
         ROW($C$2:$C$250) - ROW($C$2) + 1
      ),
      ROWS($D$2:D96)
    )
  ),
"")</f>
        <v/>
      </c>
      <c r="I96" s="10" t="s">
        <v>206</v>
      </c>
    </row>
    <row r="97" spans="2:9" x14ac:dyDescent="0.25">
      <c r="B97" s="5" t="s">
        <v>6</v>
      </c>
      <c r="C97" s="8" t="s">
        <v>173</v>
      </c>
      <c r="D97" s="7" t="str">
        <f t="array" ref="D97">IFERROR(
  INDEX($C$2:$C$250,
    SMALL(
      IF($B$2:$B$250 = [1]METADATA!G$2,
         ROW($C$2:$C$250) - ROW($C$2) + 1
      ),
      ROWS($D$2:D97)
    )
  ),
"")</f>
        <v/>
      </c>
      <c r="I97" s="3" t="s">
        <v>207</v>
      </c>
    </row>
    <row r="98" spans="2:9" x14ac:dyDescent="0.25">
      <c r="B98" s="5" t="s">
        <v>6</v>
      </c>
      <c r="C98" s="8" t="s">
        <v>174</v>
      </c>
      <c r="D98" s="7" t="str">
        <f t="array" ref="D98">IFERROR(
  INDEX($C$2:$C$250,
    SMALL(
      IF($B$2:$B$250 = [1]METADATA!G$2,
         ROW($C$2:$C$250) - ROW($C$2) + 1
      ),
      ROWS($D$2:D98)
    )
  ),
"")</f>
        <v/>
      </c>
    </row>
    <row r="99" spans="2:9" x14ac:dyDescent="0.25">
      <c r="B99" s="5" t="s">
        <v>6</v>
      </c>
      <c r="C99" s="8" t="s">
        <v>175</v>
      </c>
      <c r="D99" s="7" t="str">
        <f t="array" ref="D99">IFERROR(
  INDEX($C$2:$C$250,
    SMALL(
      IF($B$2:$B$250 = [1]METADATA!G$2,
         ROW($C$2:$C$250) - ROW($C$2) + 1
      ),
      ROWS($D$2:D99)
    )
  ),
"")</f>
        <v/>
      </c>
    </row>
  </sheetData>
  <autoFilter ref="A1:T1" xr:uid="{B4B9C88F-0632-44E9-9372-DAECBD579B4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smakel</dc:creator>
  <cp:lastModifiedBy>Sachin smakel</cp:lastModifiedBy>
  <dcterms:created xsi:type="dcterms:W3CDTF">2026-02-25T06:07:52Z</dcterms:created>
  <dcterms:modified xsi:type="dcterms:W3CDTF">2026-02-25T06:08:55Z</dcterms:modified>
</cp:coreProperties>
</file>